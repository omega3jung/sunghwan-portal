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GitHub\sunghwan-portal\docs\en\03-domain\service-desk\ticket\reference\"/>
    </mc:Choice>
  </mc:AlternateContent>
  <xr:revisionPtr revIDLastSave="0" documentId="13_ncr:1_{092DB09B-96CC-4433-A884-A842FF287F69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README" sheetId="1" r:id="rId1"/>
    <sheet name="Workflow Matrix" sheetId="2" r:id="rId2"/>
    <sheet name="Common Rules" sheetId="3" r:id="rId3"/>
    <sheet name="Legend" sheetId="4" r:id="rId4"/>
    <sheet name="Legacy Inpu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</calcChain>
</file>

<file path=xl/sharedStrings.xml><?xml version="1.0" encoding="utf-8"?>
<sst xmlns="http://schemas.openxmlformats.org/spreadsheetml/2006/main" count="797" uniqueCount="355">
  <si>
    <t>Service Desk Ticket Action Workflow Matrix</t>
  </si>
  <si>
    <t>Operation Kind</t>
  </si>
  <si>
    <t>How to use this workbook</t>
  </si>
  <si>
    <t>TICKET_ACTION</t>
  </si>
  <si>
    <t>ACTION_SUBRESOURCE</t>
  </si>
  <si>
    <t>TICKET_COMMAND</t>
  </si>
  <si>
    <t>WORK_SESSION_COMMAND</t>
  </si>
  <si>
    <t>SYSTEM_OPERATION</t>
  </si>
  <si>
    <t>Core workflow boundary</t>
  </si>
  <si>
    <t>Ticket Action -&gt; user intent or command content
Ticket mutation -&gt; current workflow state and routing effect
Ticket History -&gt; immutable evidence of what actually changed
Work Session -&gt; work-time evidence, separate from Ticket Action</t>
  </si>
  <si>
    <t>Operation</t>
  </si>
  <si>
    <t>Actor Context</t>
  </si>
  <si>
    <t>Read Scope</t>
  </si>
  <si>
    <t>Execute Capability</t>
  </si>
  <si>
    <t>Mutation Policy</t>
  </si>
  <si>
    <t>Allowed Status</t>
  </si>
  <si>
    <t>Case</t>
  </si>
  <si>
    <t>Ticket Status Effect</t>
  </si>
  <si>
    <t>Routing / Data Effect</t>
  </si>
  <si>
    <t>Action Persistence</t>
  </si>
  <si>
    <t>History Events</t>
  </si>
  <si>
    <t>History Link</t>
  </si>
  <si>
    <t>Status</t>
  </si>
  <si>
    <t>Source Document</t>
  </si>
  <si>
    <t>Notes</t>
  </si>
  <si>
    <t>APPROVE</t>
  </si>
  <si>
    <t>CURRENT_APPROVER_OR_ADMIN</t>
  </si>
  <si>
    <t>TICKET_ACCESS</t>
  </si>
  <si>
    <t>IMMUTABLE</t>
  </si>
  <si>
    <t>Approval</t>
  </si>
  <si>
    <t>NEXT_APPROVAL_STEP_EXISTS</t>
  </si>
  <si>
    <t>Remain in Approval</t>
  </si>
  <si>
    <t>Replace current approvers with the next approval-step assignees.</t>
  </si>
  <si>
    <t>ACTION_ROW</t>
  </si>
  <si>
    <t>APPROVAL_APPROVED; APPROVAL_REQUESTED</t>
  </si>
  <si>
    <t>ACTION_NO_REQUIRED</t>
  </si>
  <si>
    <t>CURRENT</t>
  </si>
  <si>
    <t>docs/en/03-domain/service-desk/ticket/reference/ticket-operation-rules.md; docs/en/03-domain/service-desk/ticket/strategy/approval-system.md; docs/en/03-domain/service-desk/ticket/ticket-history.md</t>
  </si>
  <si>
    <t>One command creates the approval result and the next approval request as separate immutable History events.</t>
  </si>
  <si>
    <t>FINAL_APPROVAL_STEP</t>
  </si>
  <si>
    <t>Change to Assigned</t>
  </si>
  <si>
    <t>Clear approval phase and replace assignees with resolved category work assignees.</t>
  </si>
  <si>
    <t>APPROVAL_APPROVED; ASSIGNMENT_RESOLVED</t>
  </si>
  <si>
    <t>Approval completion is an event, not a persisted Approved status.</t>
  </si>
  <si>
    <t>DECLINE</t>
  </si>
  <si>
    <t>DEFAULT</t>
  </si>
  <si>
    <t>Change to Declined</t>
  </si>
  <si>
    <t>Clear approvalStepId and all assignee usernames. No Closed-ticket resolution reason is set.</t>
  </si>
  <si>
    <t>APPROVAL_DECLINED</t>
  </si>
  <si>
    <t>Decline terminates approval routing but does not close the ticket.</t>
  </si>
  <si>
    <t>COMMENT_CREATE</t>
  </si>
  <si>
    <t>USER_WITH_TICKET_ACCESS</t>
  </si>
  <si>
    <t>AUTHOR_SOFT_DELETE_ONLY</t>
  </si>
  <si>
    <t>Approval/Declined/Assigned/Working/Pending/Rejected/Resolved</t>
  </si>
  <si>
    <t>NON_ADMIN</t>
  </si>
  <si>
    <t>Keep current status</t>
  </si>
  <si>
    <t>Create shared communication content.</t>
  </si>
  <si>
    <t>COMMENT_CREATED</t>
  </si>
  <si>
    <t>docs/en/03-domain/service-desk/ticket/reference/ticket-operation-rules.md; docs/en/03-domain/service-desk/ticket/ticket-action.md; docs/en/03-domain/service-desk/ticket/strategy/action-strategy.md</t>
  </si>
  <si>
    <t>Existing comments remain visible after closure, but new comments cannot be created in Closed.</t>
  </si>
  <si>
    <t>ADMIN</t>
  </si>
  <si>
    <t>Admin creation does not make the row editable; the operational audit boundary remains append-oriented.</t>
  </si>
  <si>
    <t>COMMENT_SOFT_DELETE</t>
  </si>
  <si>
    <t>ORIGINAL_AUTHOR</t>
  </si>
  <si>
    <t>SOFT_DELETE</t>
  </si>
  <si>
    <t>NOT_CLOSED</t>
  </si>
  <si>
    <t>Deactivate the existing comment row.</t>
  </si>
  <si>
    <t>NO_NEW_ACTION_ROW</t>
  </si>
  <si>
    <t>COMMENT_DELETED</t>
  </si>
  <si>
    <t>EXISTING_ACTION_NO</t>
  </si>
  <si>
    <t>The current route surface has no comment update behavior.</t>
  </si>
  <si>
    <t>NOTE_CREATE</t>
  </si>
  <si>
    <t>NOTE_CREATED</t>
  </si>
  <si>
    <t>NOTE_SOFT_DELETE</t>
  </si>
  <si>
    <t>Deactivate the existing note row.</t>
  </si>
  <si>
    <t>NOTE_DELETED</t>
  </si>
  <si>
    <t>Operational actions cannot use this mutation path.</t>
  </si>
  <si>
    <t>ASSIGN</t>
  </si>
  <si>
    <t>CURRENT_WORK_ASSIGNEE_OR_ADMIN</t>
  </si>
  <si>
    <t>Assigned/Working/Pending</t>
  </si>
  <si>
    <t>WORK_PHASE</t>
  </si>
  <si>
    <t>Keep Assigned or Working; change Pending to Working</t>
  </si>
  <si>
    <t>ASSIGNMENT_UPDATED</t>
  </si>
  <si>
    <t>docs/en/03-domain/service-desk/ticket/reference/ticket-operation-rules.md; docs/en/03-domain/service-desk/ticket/strategy/assignment-policy.md; docs/en/03-domain/service-desk/ticket/ticket-history.md</t>
  </si>
  <si>
    <t>APPROVAL_PHASE</t>
  </si>
  <si>
    <t>ASSIGN_SELF</t>
  </si>
  <si>
    <t>CURRENT_WORK_ASSIGNEE</t>
  </si>
  <si>
    <t>AT_LEAST_TWO_ASSIGNEES</t>
  </si>
  <si>
    <t>Replace multiple current work assignees with the actor only.</t>
  </si>
  <si>
    <t>Available only when the current work assignment contains at least two assignees.</t>
  </si>
  <si>
    <t>ADJUST</t>
  </si>
  <si>
    <t>WORK_ASSIGNEE</t>
  </si>
  <si>
    <t>Update priority, risk level, and/or dueAt.</t>
  </si>
  <si>
    <t>PLANNING_UPDATED</t>
  </si>
  <si>
    <t>Only submitted fields that actually change should be represented in History.</t>
  </si>
  <si>
    <t>Approval/Assigned/Working/Pending</t>
  </si>
  <si>
    <t>ACTIVE_WORKFLOW</t>
  </si>
  <si>
    <t>Admin adjustment does not bypass immutable History.</t>
  </si>
  <si>
    <t>Resolved/Closed</t>
  </si>
  <si>
    <t>TERMINAL_OR_POST_WORK</t>
  </si>
  <si>
    <t>Update priority and/or risk level; dueAt is not changed in this case.</t>
  </si>
  <si>
    <t>The workbook preserves the narrower field set documented for Resolved/Closed.</t>
  </si>
  <si>
    <t>REJECT</t>
  </si>
  <si>
    <t>Change to Rejected</t>
  </si>
  <si>
    <t>Finish related running work sessions where supported and record rejection outcome.</t>
  </si>
  <si>
    <t>TICKET_REJECTED</t>
  </si>
  <si>
    <t>Rejected remains resubmittable by the requester.</t>
  </si>
  <si>
    <t>MERGE</t>
  </si>
  <si>
    <t>Assigned/Working/Pending/Resolved</t>
  </si>
  <si>
    <t>SAME_SCOPE</t>
  </si>
  <si>
    <t>Change to Closed</t>
  </si>
  <si>
    <t>Set merged target relation and closeReason = Merged.</t>
  </si>
  <si>
    <t>TICKET_MERGED</t>
  </si>
  <si>
    <t>Source and target must remain in the same Tenant. Draft targets/sources are rejected.</t>
  </si>
  <si>
    <t>SAME_TENANT_INTERNAL_TO_PORTAL</t>
  </si>
  <si>
    <t>Set merged target relation and closeReason = Escalated.</t>
  </si>
  <si>
    <t>PORTAL -&gt; INTERNAL and cross-Tenant merge are rejected.</t>
  </si>
  <si>
    <t>Approval/Declined/Assigned/Working/Pending/Rejected/Resolved/Closed</t>
  </si>
  <si>
    <t>ADMIN_ALLOWED_SOURCE</t>
  </si>
  <si>
    <t>Change to Closed; an already Closed source remains Closed</t>
  </si>
  <si>
    <t>Apply Merged or Escalated according to the same scope rules.</t>
  </si>
  <si>
    <t>Admin does not enable reverse-scope, cross-Tenant, or Draft merge.</t>
  </si>
  <si>
    <t>REOPEN</t>
  </si>
  <si>
    <t>REQUESTER_OR_ADMIN</t>
  </si>
  <si>
    <t>Resolved</t>
  </si>
  <si>
    <t>Change to Working</t>
  </si>
  <si>
    <t>TICKET_REOPENED</t>
  </si>
  <si>
    <t>Reopen is an action and transition, not a ticket status.</t>
  </si>
  <si>
    <t>RESUBMIT</t>
  </si>
  <si>
    <t>REQUESTER</t>
  </si>
  <si>
    <t>Declined/Rejected</t>
  </si>
  <si>
    <t>APPROVAL_REQUIRED</t>
  </si>
  <si>
    <t>Change to Approval</t>
  </si>
  <si>
    <t>Resolve first applicable approval step and replace assignees with approvers.</t>
  </si>
  <si>
    <t>TICKET_SUBMITTED; APPROVAL_REQUESTED</t>
  </si>
  <si>
    <t>Resubmission reruns initial routing.</t>
  </si>
  <si>
    <t>NO_APPROVAL_REQUIRED</t>
  </si>
  <si>
    <t>Resolve category work assignment and replace assignees with workers.</t>
  </si>
  <si>
    <t>TICKET_SUBMITTED; ASSIGNMENT_RESOLVED</t>
  </si>
  <si>
    <t>Zero valid workers is a routing failure.</t>
  </si>
  <si>
    <t>CANCEL</t>
  </si>
  <si>
    <t>Approval/Declined/Assigned/Working/Pending/Rejected</t>
  </si>
  <si>
    <t>Set cancellation close reason and finish related running work sessions where supported.</t>
  </si>
  <si>
    <t>TICKET_CANCELED</t>
  </si>
  <si>
    <t>Cancel is requester-owned workflow closure.</t>
  </si>
  <si>
    <t>START_WORK</t>
  </si>
  <si>
    <t>NO_ACTION_ROW</t>
  </si>
  <si>
    <t>Assigned</t>
  </si>
  <si>
    <t>EXPLICIT_COMMAND</t>
  </si>
  <si>
    <t>No Work Session row is created.</t>
  </si>
  <si>
    <t>STATUS_UPDATED</t>
  </si>
  <si>
    <t>ACTION_NO_NULL</t>
  </si>
  <si>
    <t>docs/en/03-domain/service-desk/ticket/reference/ticket-operation-rules.md; docs/en/03-domain/service-desk/ticket/ticket-work-session.md; docs/en/03-domain/service-desk/ticket/ticket-lifecycle.md</t>
  </si>
  <si>
    <t>GET/detail/list/read requests never start work.</t>
  </si>
  <si>
    <t>WORK_SESSION_CREATE</t>
  </si>
  <si>
    <t>WORK_SESSION_ROW</t>
  </si>
  <si>
    <t>CURRENT_ASSIGNEE</t>
  </si>
  <si>
    <t>Add positive tracked minutes and optional note/range evidence.</t>
  </si>
  <si>
    <t>STATUS_UPDATED when status changes</t>
  </si>
  <si>
    <t>PREVIOUS_WORK_ASSIGNEE</t>
  </si>
  <si>
    <t>PREVIOUS_ASSIGNEE_EVIDENCE_ONLY</t>
  </si>
  <si>
    <t>Add historical work evidence only; cannot change ticket status.</t>
  </si>
  <si>
    <t>No status History unless another supported effect occurs</t>
  </si>
  <si>
    <t>Previous-worker authorization is based on assignment History, not current ownership.</t>
  </si>
  <si>
    <t>AUTO_CLOSE</t>
  </si>
  <si>
    <t>SYSTEM_AUTO</t>
  </si>
  <si>
    <t>N/A</t>
  </si>
  <si>
    <t>RESOLUTION_HISTORY_OLDER_THAN_7_DAYS</t>
  </si>
  <si>
    <t>Set closeReason = Completed and finish related running work sessions where supported.</t>
  </si>
  <si>
    <t>RESOLUTION_CLOSE</t>
  </si>
  <si>
    <t>docs/en/03-domain/service-desk/ticket/ticket-history.md; docs/en/03-domain/service-desk/ticket/ticket-lifecycle.md; docs/en/03-domain/service-desk/ticket/reference/ticket-operation-rules.md</t>
  </si>
  <si>
    <t>Auto-close uses the resolved History timestamp, not last ticket read or generic updatedAt.</t>
  </si>
  <si>
    <t>Rule ID</t>
  </si>
  <si>
    <t>Category</t>
  </si>
  <si>
    <t>Rule</t>
  </si>
  <si>
    <t>ACT-001</t>
  </si>
  <si>
    <t>Draft boundary</t>
  </si>
  <si>
    <t>No Ticket Action or operational command is executed while the ticket is in Draft status.</t>
  </si>
  <si>
    <t>ACT-002</t>
  </si>
  <si>
    <t>Read scope</t>
  </si>
  <si>
    <t>"TICKET_ACCESS" means users already authorized to read the ticket; it never means every system user.</t>
  </si>
  <si>
    <t>ACT-003</t>
  </si>
  <si>
    <t>Communication mutability</t>
  </si>
  <si>
    <t>COMMENT and NOTE support create and author soft delete where allowed. No update route is implemented.</t>
  </si>
  <si>
    <t>ACT-004</t>
  </si>
  <si>
    <t>Closed communication</t>
  </si>
  <si>
    <t>Comments/notes created before closure remain visible, but Closed blocks new create and existing edit/delete behavior.</t>
  </si>
  <si>
    <t>ACT-005</t>
  </si>
  <si>
    <t>Start Work</t>
  </si>
  <si>
    <t>Assigned changes to Working only through the explicit start-work command or a valid Work Session transition. Reads never mutate status.</t>
  </si>
  <si>
    <t>ACT-006</t>
  </si>
  <si>
    <t>Work Session transition</t>
  </si>
  <si>
    <t>ACT-007</t>
  </si>
  <si>
    <t>Auto close</t>
  </si>
  <si>
    <t>Resolved tickets auto-close seven days after the resolution History timestamp.</t>
  </si>
  <si>
    <t>ACT-008</t>
  </si>
  <si>
    <t>REMOTE transaction</t>
  </si>
  <si>
    <t>REMOTE operational commands keep ticket, Action, History, and required Work Session effects in one server transaction.</t>
  </si>
  <si>
    <t>ACT-009</t>
  </si>
  <si>
    <t>LOCAL atomicity</t>
  </si>
  <si>
    <t>LOCAL validates and stages observable changes before committing process-memory updates as one unit.</t>
  </si>
  <si>
    <t>ACT-010</t>
  </si>
  <si>
    <t>Action vs History</t>
  </si>
  <si>
    <t>Ticket Action records user intent or command content. Ticket History is immutable evidence of the executed effect.</t>
  </si>
  <si>
    <t>ACT-011</t>
  </si>
  <si>
    <t>Multiple History rows</t>
  </si>
  <si>
    <t>One command may append multiple History rows.</t>
  </si>
  <si>
    <t>ACT-012</t>
  </si>
  <si>
    <t>Null actionNo</t>
  </si>
  <si>
    <t>System operations and non-Action commands may append History with actionNo = null.</t>
  </si>
  <si>
    <t>ACT-013</t>
  </si>
  <si>
    <t>Work Session routes</t>
  </si>
  <si>
    <t>The current Work Session route surface supports list/create only. Detail/update/delete/timer client helpers have no matching routes.</t>
  </si>
  <si>
    <t>ACT-014</t>
  </si>
  <si>
    <t>Operational mutability</t>
  </si>
  <si>
    <t>Operational Ticket Action rows are immutable; corrections use a new corrective command.</t>
  </si>
  <si>
    <t>Value</t>
  </si>
  <si>
    <t>Meaning</t>
  </si>
  <si>
    <t>Command that persists a Ticket Action row and may mutate ticket state/routing.</t>
  </si>
  <si>
    <t>Mutation of an existing communication Action row, currently soft delete only.</t>
  </si>
  <si>
    <t>Explicit ticket command with no Ticket Action row, such as Start Work.</t>
  </si>
  <si>
    <t>Work-time evidence command that persists a Work Session row.</t>
  </si>
  <si>
    <t>Automated operation with no user Action row.</t>
  </si>
  <si>
    <t>Persisted operational Action cannot be edited or deleted.</t>
  </si>
  <si>
    <t>Communication Action is append-oriented and may be soft-deleted by its author where allowed.</t>
  </si>
  <si>
    <t>Deactivate an existing communication row through the Action subresource.</t>
  </si>
  <si>
    <t>The operation does not create a Ticket Action row.</t>
  </si>
  <si>
    <t>The operation persists Work Session evidence instead of a Ticket Action.</t>
  </si>
  <si>
    <t>A new Ticket Action row is inserted.</t>
  </si>
  <si>
    <t>The operation updates/deactivates an existing communication Action row.</t>
  </si>
  <si>
    <t>No Ticket Action row exists for the operation.</t>
  </si>
  <si>
    <t>History rows link to the newly created Action number.</t>
  </si>
  <si>
    <t>History links to the existing comment/note Action row.</t>
  </si>
  <si>
    <t>History is created without a Ticket Action link.</t>
  </si>
  <si>
    <t>Aligned with current implementation and current design documents.</t>
  </si>
  <si>
    <t>Action</t>
  </si>
  <si>
    <t>Actor</t>
  </si>
  <si>
    <t>Actor relation</t>
  </si>
  <si>
    <t>Allowed ticket status</t>
  </si>
  <si>
    <t>Ticket effect</t>
  </si>
  <si>
    <t>History</t>
  </si>
  <si>
    <t>read</t>
  </si>
  <si>
    <t>write</t>
  </si>
  <si>
    <t>edit / remove (soft delete)</t>
  </si>
  <si>
    <t>Allowed status</t>
  </si>
  <si>
    <t>case</t>
  </si>
  <si>
    <t>status</t>
  </si>
  <si>
    <t>other</t>
  </si>
  <si>
    <t>approve</t>
  </si>
  <si>
    <t>assignee/admin</t>
  </si>
  <si>
    <t>all</t>
  </si>
  <si>
    <t>has next approval</t>
  </si>
  <si>
    <t>assignees: replace with assignees for the next approval step</t>
  </si>
  <si>
    <t>APPROVAL_APPROVED and APPROVAL_REQUESTED</t>
  </si>
  <si>
    <t>no next approval</t>
  </si>
  <si>
    <t>assignees: replace with category assignees</t>
  </si>
  <si>
    <t>APPROVAL_APPROVED and ASSIGNMENT_RESOLVED</t>
  </si>
  <si>
    <t>decline</t>
  </si>
  <si>
    <t>Declined</t>
  </si>
  <si>
    <t>Clear approvalStepId and all assignee usernames; no Closed-ticket resolution reason is set.</t>
  </si>
  <si>
    <t>comment</t>
  </si>
  <si>
    <t>user with ticket access (non-Admin)</t>
  </si>
  <si>
    <t>users with ticket access</t>
  </si>
  <si>
    <t>writer only (not allowed when the ticket is Closed)</t>
  </si>
  <si>
    <t>None</t>
  </si>
  <si>
    <t>COMMENT_CREATED or COMMENT_DELETED; update route is not implemented</t>
  </si>
  <si>
    <t>admin</t>
  </si>
  <si>
    <t>note</t>
  </si>
  <si>
    <t>NOTE_CREATED or NOTE_DELETED; update route is not implemented</t>
  </si>
  <si>
    <t>assign</t>
  </si>
  <si>
    <t>assignee</t>
  </si>
  <si>
    <t>Keep Assigned or Working; change Pending to Working.</t>
  </si>
  <si>
    <t>assignees: replace with selected assignees</t>
  </si>
  <si>
    <t>assignees: replace with selected approvers</t>
  </si>
  <si>
    <t>assignSelf</t>
  </si>
  <si>
    <t>assignee (available only when there are at least two assignees)</t>
  </si>
  <si>
    <t>assignees: replace with the actor (reduce from n assignees to one)</t>
  </si>
  <si>
    <t>adjust</t>
  </si>
  <si>
    <t>change priority / risk / dueAt</t>
  </si>
  <si>
    <t>change priority / risk</t>
  </si>
  <si>
    <t>reject</t>
  </si>
  <si>
    <t>history: resolution reason rejected</t>
  </si>
  <si>
    <t>merge</t>
  </si>
  <si>
    <t>Same scope: closeReason = Merged. Same-Tenant INTERNAL -&gt; PORTAL: closeReason = Escalated. Reverse-scope and cross-Tenant merges are rejected.</t>
  </si>
  <si>
    <t>Same-scope Merged or same-Tenant INTERNAL -&gt; PORTAL Escalated; reverse-scope/cross-Tenant and Draft source/target are rejected.</t>
  </si>
  <si>
    <t>reopen</t>
  </si>
  <si>
    <t>requester/admin</t>
  </si>
  <si>
    <t>resubmit</t>
  </si>
  <si>
    <t>requester</t>
  </si>
  <si>
    <t>TICKET_SUBMITTED and APPROVAL_REQUESTED</t>
  </si>
  <si>
    <t>TICKET_SUBMITTED and ASSIGNMENT_RESOLVED</t>
  </si>
  <si>
    <t>cancel</t>
  </si>
  <si>
    <t>history: resolution reason canceled</t>
  </si>
  <si>
    <t>startWork (command; no Ticket Action row)</t>
  </si>
  <si>
    <t>current work assignee</t>
  </si>
  <si>
    <t>No work-session row is created. GET/read never starts work.</t>
  </si>
  <si>
    <t>STATUS_UPDATED with actionNo = null</t>
  </si>
  <si>
    <t>workSession create (not a Ticket Action)</t>
  </si>
  <si>
    <t>current or previous work assignee</t>
  </si>
  <si>
    <t>current assignee may transition status; previous worker may only add evidence</t>
  </si>
  <si>
    <t>Keep or apply an allowed work-status transition</t>
  </si>
  <si>
    <t>Add positive tracked minutes; current route surface is list/create only</t>
  </si>
  <si>
    <t>STATUS_UPDATED with actionNo = null when status changes</t>
  </si>
  <si>
    <t>Common rules</t>
  </si>
  <si>
    <t>1. No ticket action can be executed while the ticket is in Draft status.</t>
  </si>
  <si>
    <t>2. "all" does not mean every system user; it means users who have read permission for the ticket.</t>
  </si>
  <si>
    <t>3. COMMENT and NOTE can be created and soft-deleted by their author where allowed. No update route is implemented. Operational actions cannot be edited or deleted after creation.</t>
  </si>
  <si>
    <t>4. Comments and notes created before closure remain visible in Activity. When the ticket is Closed, creating new comments/notes and editing or deleting existing items are not allowed.</t>
  </si>
  <si>
    <t>5. Assigned changes to Working only through the explicit start-work command or a valid work-session create transition. GET/detail/list/read requests never mutate status.</t>
  </si>
  <si>
    <t>6. Work-session create may apply Assigned -&gt; Working, Working -&gt; Pending/Resolved, or Pending -&gt; Working/Resolved. Only the current work assignee may change status; a previous worker may add evidence without changing status.</t>
  </si>
  <si>
    <t>7. A Resolved ticket is automatically changed to Closed 7 days after the resolution History event timestamp.</t>
  </si>
  <si>
    <t>8. In REMOTE, an operational command processes ticket, Ticket Action, Ticket History, and required work-session changes in one server transaction.</t>
  </si>
  <si>
    <t>In LOCAL, the command stages validation and observable changes before committing process-memory updates as one unit.</t>
  </si>
  <si>
    <t>9. Ticket Action records user intent or command content; Ticket History is immutable evidence of the executed effect. One command may append multiple history rows.</t>
  </si>
  <si>
    <t>10. System operations and non-Action commands can append Ticket History with actionNo = null.</t>
  </si>
  <si>
    <t>11. The current Ticket Work Session route surface supports list/create. Detail, update, delete, and timer start/finish/switch client methods have no matching current routes.</t>
  </si>
  <si>
    <t>Reorganized from the legacy one-sheet source. This workbook separates Ticket Actions, non-Action commands, Work Sessions, system operations, and immutable History linkage.</t>
    <phoneticPr fontId="5" type="noConversion"/>
  </si>
  <si>
    <t>Matrix Row Count</t>
    <phoneticPr fontId="5" type="noConversion"/>
  </si>
  <si>
    <t>Total Matrix Rows</t>
    <phoneticPr fontId="5" type="noConversion"/>
  </si>
  <si>
    <t>1. Read Workflow Matrix for operation-specific actor, status, persistence, and History effects.
2. Read Common Rules for cross-operation invariants.
3. Ticket Action and Ticket History are separate responsibilities.
4. ACTION_NO_NULL marks valid History produced without a Ticket Action row.
5. Legacy Input preserves the prior one-sheet source for reference.
6. REVIEW_REQUIRED marks a documented implementation gap or unresolved policy boundary.</t>
    <phoneticPr fontId="5" type="noConversion"/>
  </si>
  <si>
    <t>Create note content; no external notification is produced by default.</t>
    <phoneticPr fontId="5" type="noConversion"/>
  </si>
  <si>
    <t>The current action list applies ticket access without note-specific visibility filtering.</t>
    <phoneticPr fontId="5" type="noConversion"/>
  </si>
  <si>
    <t>No note update route is implemented, and Admin creation does not add a separate visibility boundary.</t>
    <phoneticPr fontId="5" type="noConversion"/>
  </si>
  <si>
    <t>Replace current work assignees with the submitted assignee usernames.</t>
    <phoneticPr fontId="5" type="noConversion"/>
  </si>
  <si>
    <t>REVIEW_REQUIRED</t>
  </si>
  <si>
    <t>REVIEW_REQUIRED</t>
    <phoneticPr fontId="5" type="noConversion"/>
  </si>
  <si>
    <t>The command validates actor/status and a nonempty username list, but does not revalidate phase/category/Assignment Rule candidate eligibility; see the Employee Reference Scope Matrix.</t>
    <phoneticPr fontId="5" type="noConversion"/>
  </si>
  <si>
    <t>Replace current approvers with the submitted assignee usernames.</t>
    <phoneticPr fontId="5" type="noConversion"/>
  </si>
  <si>
    <t>The command validates actor/status and a nonempty username list, but does not revalidate category-Tenant approver eligibility; candidate policy remains REVIEW_REQUIRED.</t>
    <phoneticPr fontId="5" type="noConversion"/>
  </si>
  <si>
    <t>Require at least one existing work assignee, preserve current assignees, and restore active work state.</t>
    <phoneticPr fontId="5" type="noConversion"/>
  </si>
  <si>
    <t>Working may remain unchanged; Assigned/Pending require an allowed transition</t>
    <phoneticPr fontId="5" type="noConversion"/>
  </si>
  <si>
    <t>Required transitions: Assigned -&gt; Working and Pending -&gt; Working/Resolved. Working may remain unchanged or transition to Pending/Resolved.</t>
    <phoneticPr fontId="5" type="noConversion"/>
  </si>
  <si>
    <t>Only the current worker may apply a work-status transition. Assigned/Pending require an allowed transition; a previous worker may add evidence without changing status.</t>
    <phoneticPr fontId="5" type="noConversion"/>
  </si>
  <si>
    <t>ACT-015</t>
  </si>
  <si>
    <t>Assignment candidate validation</t>
  </si>
  <si>
    <t>The current ASSIGN command validates actor/status and a nonempty username list but does not revalidate phase/category/Assignment Rule candidate eligibility.</t>
  </si>
  <si>
    <t>The row records a current implementation gap or policy boundary that must not be treated as completed authorization behavior.</t>
  </si>
  <si>
    <t>NON_REQUESTER_OPERATIONAL_PARTICIPANT</t>
  </si>
  <si>
    <t>TICKET_ACCESS_AND_NOTE_POLICY</t>
  </si>
  <si>
    <t>NON_REQUESTER_OPERATIONAL_PARTICIPANT</t>
  </si>
  <si>
    <t>Requires ticket visibility and current/past assignment or current category approval/assignment participation. Non-Admin requesters are excluded. Action reads and linked History use the same NOTE policy.</t>
  </si>
  <si>
    <t>EFFECTIVE_USER_ADMIN</t>
  </si>
  <si>
    <t>TICKET_ACCESS_AND_NOTE_POLICY</t>
  </si>
  <si>
    <t>EFFECTIVE_USER_ADMIN</t>
  </si>
  <si>
    <t>Effective-user Admin may access NOTE, including as requester, only after ticket visibility. Impersonation does not add the original Admin role. No note update route exists.</t>
  </si>
  <si>
    <t>TICKET_ACCESS_AND_NOTE_POLICY</t>
  </si>
  <si>
    <t>ORIGINAL_AUTHOR_WITH_NOTE_ACCESS</t>
  </si>
  <si>
    <t>Requires original authorship and current NOTE access. Stored History remains immutable; NOTE-related reads remain filtered, including after soft delete.</t>
  </si>
  <si>
    <t>LATEST_RESOLUTION_HISTORY_AT_LEAST_168_HOURS_OLD</t>
  </si>
  <si>
    <t>Latest resolution History starts the 168-hour grace period, including after re-resolution. The selected REMOTE schedule checks hourly; hosted deployment and scheduled lifecycle execution remain unverified. Closure may be delayed.</t>
  </si>
  <si>
    <t>TICKET_ACCESS means existing ticket visibility. NOTE additionally requires effective-user Admin or non-requester operational participation; the same policy filters NOTE Actions and linked History.</t>
  </si>
  <si>
    <t>Existing COMMENT remains readable after closure. Existing NOTE remains readable only under the NOTE access policy. Closed blocks new communication and soft delete.</t>
  </si>
  <si>
    <t>Resolved tickets become eligible 168 elapsed hours after the latest resolution History. The selected hourly REMOTE check is not an exact closure deadline; hosted scheduled execution remains unverified.</t>
  </si>
  <si>
    <t>Latest resolution History starts the 168-hour grace period, including after re-resolution. REMOTE auto-close is verified and scheduled hourly through Supabase Cron (0 * * * *). The normal wait until the next check is less than approximately one hour; missed runs or locked Tickets can be caught up on a later run.</t>
  </si>
  <si>
    <t>Resolved tickets become eligible 168 elapsed hours after the latest resolution History. REMOTE function execution and hourly Supabase Cron invocation (0 * * * *) are verified. The hourly check is not an exact closure deadline; missed runs or locked Tickets can be caught up on a later 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</si>
</sst>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vertical="center"/>
    </xf>
    <xf numFmtId="0" fontId="0" fillId="0" borderId="0" xfId="1" applyFont="1" applyAlignment="1">
      <alignment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0" fillId="0" borderId="7" xfId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0" fillId="3" borderId="0" xfId="1" applyFont="1" applyFill="1" applyAlignment="1">
      <alignment wrapText="1"/>
    </xf>
    <xf numFmtId="0" fontId="0" fillId="0" borderId="0" xfId="1" applyFont="1" applyAlignment="1">
      <alignment vertical="top" wrapText="1"/>
    </xf>
    <xf numFmtId="0" fontId="3" fillId="4" borderId="0" xfId="1" applyFont="1" applyFill="1" applyAlignment="1">
      <alignment vertical="center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4" xfId="1" applyFont="1" applyBorder="1" applyAlignment="1"/>
    <xf numFmtId="0" fontId="0" fillId="0" borderId="6" xfId="1" applyFont="1" applyBorder="1" applyAlignment="1"/>
  </cellXfs>
  <cellStyles count="2">
    <cellStyle name="Normal" xfId="1" xr:uid="{00000000-0005-0000-0000-000000000000}"/>
    <cellStyle name="표준" xfId="0" builtinId="0"/>
  </cellStyles>
  <dxfs count="23"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fill>
        <patternFill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cketActionWorkflowTable" displayName="TicketActionWorkflowTable" ref="A1:P28" dataDxfId="0">
  <tableColumns count="16">
    <tableColumn id="1" xr3:uid="{00000000-0010-0000-0000-000001000000}" name="Operation" dataDxfId="16"/>
    <tableColumn id="2" xr3:uid="{00000000-0010-0000-0000-000002000000}" name="Operation Kind" dataDxfId="15"/>
    <tableColumn id="3" xr3:uid="{00000000-0010-0000-0000-000003000000}" name="Actor Context" dataDxfId="14"/>
    <tableColumn id="4" xr3:uid="{00000000-0010-0000-0000-000004000000}" name="Read Scope" dataDxfId="13"/>
    <tableColumn id="5" xr3:uid="{00000000-0010-0000-0000-000005000000}" name="Execute Capability" dataDxfId="12"/>
    <tableColumn id="6" xr3:uid="{00000000-0010-0000-0000-000006000000}" name="Mutation Policy" dataDxfId="11"/>
    <tableColumn id="7" xr3:uid="{00000000-0010-0000-0000-000007000000}" name="Allowed Status" dataDxfId="10"/>
    <tableColumn id="8" xr3:uid="{00000000-0010-0000-0000-000008000000}" name="Case" dataDxfId="9"/>
    <tableColumn id="9" xr3:uid="{00000000-0010-0000-0000-000009000000}" name="Ticket Status Effect" dataDxfId="8"/>
    <tableColumn id="10" xr3:uid="{00000000-0010-0000-0000-00000A000000}" name="Routing / Data Effect" dataDxfId="7"/>
    <tableColumn id="11" xr3:uid="{00000000-0010-0000-0000-00000B000000}" name="Action Persistence" dataDxfId="6"/>
    <tableColumn id="12" xr3:uid="{00000000-0010-0000-0000-00000C000000}" name="History Events" dataDxfId="5"/>
    <tableColumn id="13" xr3:uid="{00000000-0010-0000-0000-00000D000000}" name="History Link" dataDxfId="4"/>
    <tableColumn id="14" xr3:uid="{00000000-0010-0000-0000-00000E000000}" name="Status" dataDxfId="3"/>
    <tableColumn id="15" xr3:uid="{00000000-0010-0000-0000-00000F000000}" name="Source Document" dataDxfId="2"/>
    <tableColumn id="16" xr3:uid="{00000000-0010-0000-0000-000010000000}" name="Note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icketActionCommonRulesTable" displayName="TicketActionCommonRulesTable" ref="A1:D16">
  <tableColumns count="4">
    <tableColumn id="1" xr3:uid="{00000000-0010-0000-0100-000001000000}" name="Rule ID"/>
    <tableColumn id="2" xr3:uid="{00000000-0010-0000-0100-000002000000}" name="Category"/>
    <tableColumn id="3" xr3:uid="{00000000-0010-0000-0100-000003000000}" name="Rule"/>
    <tableColumn id="4" xr3:uid="{00000000-0010-0000-0100-000004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icketActionLegendTable" displayName="TicketActionLegendTable" ref="A1:C19">
  <tableColumns count="3">
    <tableColumn id="1" xr3:uid="{00000000-0010-0000-0200-000001000000}" name="Category"/>
    <tableColumn id="2" xr3:uid="{00000000-0010-0000-0200-000002000000}" name="Value"/>
    <tableColumn id="3" xr3:uid="{00000000-0010-0000-0200-000003000000}" name="Mean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icketActionLegacyOperationTable" displayName="TicketActionLegacyOperationTable" ref="A2:J24">
  <tableColumns count="10">
    <tableColumn id="1" xr3:uid="{00000000-0010-0000-0300-000001000000}" name="Action"/>
    <tableColumn id="2" xr3:uid="{00000000-0010-0000-0300-000002000000}" name="Actor"/>
    <tableColumn id="3" xr3:uid="{00000000-0010-0000-0300-000003000000}" name="read"/>
    <tableColumn id="4" xr3:uid="{00000000-0010-0000-0300-000004000000}" name="write"/>
    <tableColumn id="5" xr3:uid="{00000000-0010-0000-0300-000005000000}" name="edit / remove (soft delete)"/>
    <tableColumn id="6" xr3:uid="{00000000-0010-0000-0300-000006000000}" name="Allowed status"/>
    <tableColumn id="7" xr3:uid="{00000000-0010-0000-0300-000007000000}" name="case"/>
    <tableColumn id="8" xr3:uid="{00000000-0010-0000-0300-000008000000}" name="status"/>
    <tableColumn id="9" xr3:uid="{00000000-0010-0000-0300-000009000000}" name="other"/>
    <tableColumn id="10" xr3:uid="{00000000-0010-0000-0300-00000A000000}" name="Hist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18" sqref="D18"/>
    </sheetView>
  </sheetViews>
  <sheetFormatPr defaultRowHeight="14.25"/>
  <cols>
    <col min="1" max="1" width="26" customWidth="1"/>
    <col min="2" max="2" width="11.5" bestFit="1" customWidth="1"/>
    <col min="3" max="3" width="3" customWidth="1"/>
    <col min="4" max="4" width="76" customWidth="1"/>
  </cols>
  <sheetData>
    <row r="1" spans="1:4" ht="24" customHeight="1">
      <c r="A1" s="15" t="s">
        <v>0</v>
      </c>
      <c r="B1" s="15"/>
      <c r="C1" s="15"/>
      <c r="D1" s="15"/>
    </row>
    <row r="2" spans="1:4" ht="31.5" customHeight="1">
      <c r="A2" s="16" t="s">
        <v>316</v>
      </c>
      <c r="B2" s="16"/>
      <c r="C2" s="16"/>
      <c r="D2" s="16"/>
    </row>
    <row r="3" spans="1:4" ht="14.25" customHeight="1"/>
    <row r="4" spans="1:4" ht="14.25" customHeight="1">
      <c r="A4" s="1" t="s">
        <v>1</v>
      </c>
      <c r="B4" s="1" t="s">
        <v>317</v>
      </c>
      <c r="D4" s="2" t="s">
        <v>2</v>
      </c>
    </row>
    <row r="5" spans="1:4" ht="14.25" customHeight="1">
      <c r="A5" t="s">
        <v>3</v>
      </c>
      <c r="B5">
        <f>COUNTIF('Workflow Matrix'!$B$2:$B$28,"TICKET_ACTION")</f>
        <v>21</v>
      </c>
      <c r="D5" s="17" t="s">
        <v>319</v>
      </c>
    </row>
    <row r="6" spans="1:4" ht="14.25" customHeight="1">
      <c r="A6" t="s">
        <v>4</v>
      </c>
      <c r="B6">
        <f>COUNTIF('Workflow Matrix'!$B$2:$B$28,"ACTION_SUBRESOURCE")</f>
        <v>2</v>
      </c>
      <c r="D6" s="17"/>
    </row>
    <row r="7" spans="1:4" ht="14.25" customHeight="1">
      <c r="A7" t="s">
        <v>5</v>
      </c>
      <c r="B7">
        <f>COUNTIF('Workflow Matrix'!$B$2:$B$28,"TICKET_COMMAND")</f>
        <v>1</v>
      </c>
      <c r="D7" s="17"/>
    </row>
    <row r="8" spans="1:4" ht="14.25" customHeight="1">
      <c r="A8" t="s">
        <v>6</v>
      </c>
      <c r="B8">
        <f>COUNTIF('Workflow Matrix'!$B$2:$B$28,"WORK_SESSION_COMMAND")</f>
        <v>2</v>
      </c>
      <c r="D8" s="17"/>
    </row>
    <row r="9" spans="1:4" ht="14.25" customHeight="1">
      <c r="A9" t="s">
        <v>7</v>
      </c>
      <c r="B9">
        <f>COUNTIF('Workflow Matrix'!$B$2:$B$28,"SYSTEM_OPERATION")</f>
        <v>1</v>
      </c>
      <c r="D9" s="17"/>
    </row>
    <row r="10" spans="1:4" ht="14.25" customHeight="1">
      <c r="A10" t="s">
        <v>318</v>
      </c>
      <c r="B10">
        <f>COUNTA('Workflow Matrix'!$A$2:$A$28)</f>
        <v>27</v>
      </c>
      <c r="D10" s="17"/>
    </row>
    <row r="11" spans="1:4" ht="14.25" customHeight="1"/>
    <row r="12" spans="1:4" ht="14.25" customHeight="1">
      <c r="A12" s="18" t="s">
        <v>8</v>
      </c>
      <c r="B12" s="18"/>
      <c r="C12" s="18"/>
      <c r="D12" s="18"/>
    </row>
    <row r="13" spans="1:4" ht="14.25" customHeight="1">
      <c r="A13" s="17" t="s">
        <v>9</v>
      </c>
      <c r="B13" s="17"/>
      <c r="C13" s="17"/>
      <c r="D13" s="17"/>
    </row>
    <row r="14" spans="1:4" ht="14.25" customHeight="1">
      <c r="A14" s="17"/>
      <c r="B14" s="17"/>
      <c r="C14" s="17"/>
      <c r="D14" s="17"/>
    </row>
    <row r="15" spans="1:4" ht="14.25" customHeight="1">
      <c r="A15" s="17"/>
      <c r="B15" s="17"/>
      <c r="C15" s="17"/>
      <c r="D15" s="17"/>
    </row>
    <row r="16" spans="1:4" ht="14.25" customHeight="1">
      <c r="A16" s="17"/>
      <c r="B16" s="17"/>
      <c r="C16" s="17"/>
      <c r="D16" s="17"/>
    </row>
  </sheetData>
  <mergeCells count="5">
    <mergeCell ref="A1:D1"/>
    <mergeCell ref="A2:D2"/>
    <mergeCell ref="D5:D10"/>
    <mergeCell ref="A12:D12"/>
    <mergeCell ref="A13:D16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"/>
  <sheetViews>
    <sheetView workbookViewId="0">
      <selection activeCell="A2" sqref="A2"/>
    </sheetView>
  </sheetViews>
  <sheetFormatPr defaultRowHeight="14.25"/>
  <cols>
    <col min="1" max="1" width="26.75" bestFit="1" customWidth="1"/>
    <col min="2" max="2" width="22.875" customWidth="1"/>
    <col min="3" max="3" width="32.375" bestFit="1" customWidth="1"/>
    <col min="4" max="4" width="17.375" bestFit="1" customWidth="1"/>
    <col min="5" max="5" width="31.25" bestFit="1" customWidth="1"/>
    <col min="6" max="6" width="31.375" bestFit="1" customWidth="1"/>
    <col min="7" max="7" width="32" customWidth="1"/>
    <col min="8" max="8" width="30" customWidth="1"/>
    <col min="9" max="9" width="28.625" bestFit="1" customWidth="1"/>
    <col min="10" max="10" width="45.875" customWidth="1"/>
    <col min="11" max="11" width="22" customWidth="1"/>
    <col min="12" max="12" width="34" customWidth="1"/>
    <col min="13" max="13" width="22" customWidth="1"/>
    <col min="14" max="14" width="20.5" customWidth="1"/>
    <col min="15" max="15" width="56" customWidth="1"/>
    <col min="16" max="16" width="58" customWidth="1"/>
  </cols>
  <sheetData>
    <row r="1" spans="1:16" ht="15">
      <c r="A1" s="4" t="s">
        <v>10</v>
      </c>
      <c r="B1" s="5" t="s">
        <v>1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6" t="s">
        <v>24</v>
      </c>
    </row>
    <row r="2" spans="1:16" s="21" customFormat="1" ht="57" customHeight="1">
      <c r="A2" s="19" t="s">
        <v>25</v>
      </c>
      <c r="B2" s="14" t="s">
        <v>3</v>
      </c>
      <c r="C2" s="14" t="s">
        <v>26</v>
      </c>
      <c r="D2" s="14" t="s">
        <v>27</v>
      </c>
      <c r="E2" s="14" t="s">
        <v>26</v>
      </c>
      <c r="F2" s="14" t="s">
        <v>28</v>
      </c>
      <c r="G2" s="14" t="s">
        <v>29</v>
      </c>
      <c r="H2" s="14" t="s">
        <v>30</v>
      </c>
      <c r="I2" s="14" t="s">
        <v>31</v>
      </c>
      <c r="J2" s="14" t="s">
        <v>32</v>
      </c>
      <c r="K2" s="14" t="s">
        <v>33</v>
      </c>
      <c r="L2" s="14" t="s">
        <v>34</v>
      </c>
      <c r="M2" s="14" t="s">
        <v>35</v>
      </c>
      <c r="N2" s="14" t="s">
        <v>36</v>
      </c>
      <c r="O2" s="14" t="s">
        <v>37</v>
      </c>
      <c r="P2" s="20" t="s">
        <v>38</v>
      </c>
    </row>
    <row r="3" spans="1:16" s="21" customFormat="1" ht="57" customHeight="1">
      <c r="A3" s="19" t="s">
        <v>25</v>
      </c>
      <c r="B3" s="14" t="s">
        <v>3</v>
      </c>
      <c r="C3" s="14" t="s">
        <v>26</v>
      </c>
      <c r="D3" s="14" t="s">
        <v>27</v>
      </c>
      <c r="E3" s="14" t="s">
        <v>26</v>
      </c>
      <c r="F3" s="14" t="s">
        <v>28</v>
      </c>
      <c r="G3" s="14" t="s">
        <v>29</v>
      </c>
      <c r="H3" s="14" t="s">
        <v>39</v>
      </c>
      <c r="I3" s="14" t="s">
        <v>40</v>
      </c>
      <c r="J3" s="14" t="s">
        <v>41</v>
      </c>
      <c r="K3" s="14" t="s">
        <v>33</v>
      </c>
      <c r="L3" s="14" t="s">
        <v>42</v>
      </c>
      <c r="M3" s="14" t="s">
        <v>35</v>
      </c>
      <c r="N3" s="14" t="s">
        <v>36</v>
      </c>
      <c r="O3" s="14" t="s">
        <v>37</v>
      </c>
      <c r="P3" s="20" t="s">
        <v>43</v>
      </c>
    </row>
    <row r="4" spans="1:16" s="21" customFormat="1" ht="57" customHeight="1">
      <c r="A4" s="19" t="s">
        <v>44</v>
      </c>
      <c r="B4" s="14" t="s">
        <v>3</v>
      </c>
      <c r="C4" s="14" t="s">
        <v>26</v>
      </c>
      <c r="D4" s="14" t="s">
        <v>27</v>
      </c>
      <c r="E4" s="14" t="s">
        <v>26</v>
      </c>
      <c r="F4" s="14" t="s">
        <v>28</v>
      </c>
      <c r="G4" s="14" t="s">
        <v>29</v>
      </c>
      <c r="H4" s="14" t="s">
        <v>45</v>
      </c>
      <c r="I4" s="14" t="s">
        <v>46</v>
      </c>
      <c r="J4" s="14" t="s">
        <v>47</v>
      </c>
      <c r="K4" s="14" t="s">
        <v>33</v>
      </c>
      <c r="L4" s="14" t="s">
        <v>48</v>
      </c>
      <c r="M4" s="14" t="s">
        <v>35</v>
      </c>
      <c r="N4" s="14" t="s">
        <v>36</v>
      </c>
      <c r="O4" s="14" t="s">
        <v>37</v>
      </c>
      <c r="P4" s="20" t="s">
        <v>49</v>
      </c>
    </row>
    <row r="5" spans="1:16" s="21" customFormat="1" ht="57" customHeight="1">
      <c r="A5" s="19" t="s">
        <v>50</v>
      </c>
      <c r="B5" s="14" t="s">
        <v>3</v>
      </c>
      <c r="C5" s="14" t="s">
        <v>51</v>
      </c>
      <c r="D5" s="14" t="s">
        <v>27</v>
      </c>
      <c r="E5" s="14" t="s">
        <v>51</v>
      </c>
      <c r="F5" s="14" t="s">
        <v>52</v>
      </c>
      <c r="G5" s="14" t="s">
        <v>53</v>
      </c>
      <c r="H5" s="14" t="s">
        <v>54</v>
      </c>
      <c r="I5" s="14" t="s">
        <v>55</v>
      </c>
      <c r="J5" s="14" t="s">
        <v>56</v>
      </c>
      <c r="K5" s="14" t="s">
        <v>33</v>
      </c>
      <c r="L5" s="14" t="s">
        <v>57</v>
      </c>
      <c r="M5" s="14" t="s">
        <v>35</v>
      </c>
      <c r="N5" s="14" t="s">
        <v>36</v>
      </c>
      <c r="O5" s="14" t="s">
        <v>58</v>
      </c>
      <c r="P5" s="20" t="s">
        <v>59</v>
      </c>
    </row>
    <row r="6" spans="1:16" s="21" customFormat="1" ht="57" customHeight="1">
      <c r="A6" s="19" t="s">
        <v>50</v>
      </c>
      <c r="B6" s="14" t="s">
        <v>3</v>
      </c>
      <c r="C6" s="14" t="s">
        <v>60</v>
      </c>
      <c r="D6" s="14" t="s">
        <v>27</v>
      </c>
      <c r="E6" s="14" t="s">
        <v>60</v>
      </c>
      <c r="F6" s="14" t="s">
        <v>52</v>
      </c>
      <c r="G6" s="14" t="s">
        <v>53</v>
      </c>
      <c r="H6" s="14" t="s">
        <v>60</v>
      </c>
      <c r="I6" s="14" t="s">
        <v>55</v>
      </c>
      <c r="J6" s="14" t="s">
        <v>56</v>
      </c>
      <c r="K6" s="14" t="s">
        <v>33</v>
      </c>
      <c r="L6" s="14" t="s">
        <v>57</v>
      </c>
      <c r="M6" s="14" t="s">
        <v>35</v>
      </c>
      <c r="N6" s="14" t="s">
        <v>36</v>
      </c>
      <c r="O6" s="14" t="s">
        <v>58</v>
      </c>
      <c r="P6" s="20" t="s">
        <v>61</v>
      </c>
    </row>
    <row r="7" spans="1:16" s="21" customFormat="1" ht="57" customHeight="1">
      <c r="A7" s="19" t="s">
        <v>62</v>
      </c>
      <c r="B7" s="14" t="s">
        <v>4</v>
      </c>
      <c r="C7" s="14" t="s">
        <v>63</v>
      </c>
      <c r="D7" s="14" t="s">
        <v>27</v>
      </c>
      <c r="E7" s="14" t="s">
        <v>63</v>
      </c>
      <c r="F7" s="14" t="s">
        <v>64</v>
      </c>
      <c r="G7" s="14" t="s">
        <v>53</v>
      </c>
      <c r="H7" s="14" t="s">
        <v>65</v>
      </c>
      <c r="I7" s="14" t="s">
        <v>55</v>
      </c>
      <c r="J7" s="14" t="s">
        <v>66</v>
      </c>
      <c r="K7" s="14" t="s">
        <v>67</v>
      </c>
      <c r="L7" s="14" t="s">
        <v>68</v>
      </c>
      <c r="M7" s="14" t="s">
        <v>69</v>
      </c>
      <c r="N7" s="14" t="s">
        <v>36</v>
      </c>
      <c r="O7" s="14" t="s">
        <v>58</v>
      </c>
      <c r="P7" s="20" t="s">
        <v>70</v>
      </c>
    </row>
    <row r="8" spans="1:16" s="21" customFormat="1" ht="57" customHeight="1">
      <c r="A8" s="19" t="s">
        <v>71</v>
      </c>
      <c r="B8" s="14" t="s">
        <v>3</v>
      </c>
      <c r="C8" s="14" t="s">
        <v>337</v>
      </c>
      <c r="D8" s="14" t="s">
        <v>338</v>
      </c>
      <c r="E8" s="14" t="s">
        <v>339</v>
      </c>
      <c r="F8" s="14" t="s">
        <v>52</v>
      </c>
      <c r="G8" s="14" t="s">
        <v>53</v>
      </c>
      <c r="H8" s="14" t="s">
        <v>54</v>
      </c>
      <c r="I8" s="14" t="s">
        <v>55</v>
      </c>
      <c r="J8" s="14" t="s">
        <v>320</v>
      </c>
      <c r="K8" s="14" t="s">
        <v>33</v>
      </c>
      <c r="L8" s="14" t="s">
        <v>72</v>
      </c>
      <c r="M8" s="14" t="s">
        <v>35</v>
      </c>
      <c r="N8" s="14" t="s">
        <v>36</v>
      </c>
      <c r="O8" s="14" t="s">
        <v>58</v>
      </c>
      <c r="P8" s="20" t="s">
        <v>340</v>
      </c>
    </row>
    <row r="9" spans="1:16" s="21" customFormat="1" ht="57" customHeight="1">
      <c r="A9" s="19" t="s">
        <v>71</v>
      </c>
      <c r="B9" s="14" t="s">
        <v>3</v>
      </c>
      <c r="C9" s="14" t="s">
        <v>341</v>
      </c>
      <c r="D9" s="14" t="s">
        <v>342</v>
      </c>
      <c r="E9" s="14" t="s">
        <v>343</v>
      </c>
      <c r="F9" s="14" t="s">
        <v>52</v>
      </c>
      <c r="G9" s="14" t="s">
        <v>53</v>
      </c>
      <c r="H9" s="14" t="s">
        <v>60</v>
      </c>
      <c r="I9" s="14" t="s">
        <v>55</v>
      </c>
      <c r="J9" s="14" t="s">
        <v>320</v>
      </c>
      <c r="K9" s="14" t="s">
        <v>33</v>
      </c>
      <c r="L9" s="14" t="s">
        <v>72</v>
      </c>
      <c r="M9" s="14" t="s">
        <v>35</v>
      </c>
      <c r="N9" s="14" t="s">
        <v>36</v>
      </c>
      <c r="O9" s="14" t="s">
        <v>58</v>
      </c>
      <c r="P9" s="20" t="s">
        <v>344</v>
      </c>
    </row>
    <row r="10" spans="1:16" s="21" customFormat="1" ht="57" customHeight="1">
      <c r="A10" s="19" t="s">
        <v>73</v>
      </c>
      <c r="B10" s="14" t="s">
        <v>4</v>
      </c>
      <c r="C10" s="14" t="s">
        <v>63</v>
      </c>
      <c r="D10" s="14" t="s">
        <v>345</v>
      </c>
      <c r="E10" s="14" t="s">
        <v>346</v>
      </c>
      <c r="F10" s="14" t="s">
        <v>64</v>
      </c>
      <c r="G10" s="14" t="s">
        <v>53</v>
      </c>
      <c r="H10" s="14" t="s">
        <v>65</v>
      </c>
      <c r="I10" s="14" t="s">
        <v>55</v>
      </c>
      <c r="J10" s="14" t="s">
        <v>74</v>
      </c>
      <c r="K10" s="14" t="s">
        <v>67</v>
      </c>
      <c r="L10" s="14" t="s">
        <v>75</v>
      </c>
      <c r="M10" s="14" t="s">
        <v>69</v>
      </c>
      <c r="N10" s="14" t="s">
        <v>36</v>
      </c>
      <c r="O10" s="14" t="s">
        <v>58</v>
      </c>
      <c r="P10" s="20" t="s">
        <v>347</v>
      </c>
    </row>
    <row r="11" spans="1:16" s="21" customFormat="1" ht="57" customHeight="1">
      <c r="A11" s="19" t="s">
        <v>77</v>
      </c>
      <c r="B11" s="14" t="s">
        <v>3</v>
      </c>
      <c r="C11" s="14" t="s">
        <v>78</v>
      </c>
      <c r="D11" s="14" t="s">
        <v>27</v>
      </c>
      <c r="E11" s="14" t="s">
        <v>78</v>
      </c>
      <c r="F11" s="14" t="s">
        <v>28</v>
      </c>
      <c r="G11" s="14" t="s">
        <v>79</v>
      </c>
      <c r="H11" s="14" t="s">
        <v>80</v>
      </c>
      <c r="I11" s="14" t="s">
        <v>81</v>
      </c>
      <c r="J11" s="14" t="s">
        <v>323</v>
      </c>
      <c r="K11" s="14" t="s">
        <v>33</v>
      </c>
      <c r="L11" s="14" t="s">
        <v>82</v>
      </c>
      <c r="M11" s="14" t="s">
        <v>35</v>
      </c>
      <c r="N11" s="14" t="s">
        <v>325</v>
      </c>
      <c r="O11" s="14" t="s">
        <v>83</v>
      </c>
      <c r="P11" s="20" t="s">
        <v>326</v>
      </c>
    </row>
    <row r="12" spans="1:16" s="21" customFormat="1" ht="57" customHeight="1">
      <c r="A12" s="19" t="s">
        <v>77</v>
      </c>
      <c r="B12" s="14" t="s">
        <v>3</v>
      </c>
      <c r="C12" s="14" t="s">
        <v>60</v>
      </c>
      <c r="D12" s="14" t="s">
        <v>27</v>
      </c>
      <c r="E12" s="14" t="s">
        <v>60</v>
      </c>
      <c r="F12" s="14" t="s">
        <v>28</v>
      </c>
      <c r="G12" s="14" t="s">
        <v>29</v>
      </c>
      <c r="H12" s="14" t="s">
        <v>84</v>
      </c>
      <c r="I12" s="14" t="s">
        <v>31</v>
      </c>
      <c r="J12" s="14" t="s">
        <v>327</v>
      </c>
      <c r="K12" s="14" t="s">
        <v>33</v>
      </c>
      <c r="L12" s="14" t="s">
        <v>82</v>
      </c>
      <c r="M12" s="14" t="s">
        <v>35</v>
      </c>
      <c r="N12" s="14" t="s">
        <v>325</v>
      </c>
      <c r="O12" s="14" t="s">
        <v>83</v>
      </c>
      <c r="P12" s="20" t="s">
        <v>328</v>
      </c>
    </row>
    <row r="13" spans="1:16" s="21" customFormat="1" ht="57" customHeight="1">
      <c r="A13" s="19" t="s">
        <v>85</v>
      </c>
      <c r="B13" s="14" t="s">
        <v>3</v>
      </c>
      <c r="C13" s="14" t="s">
        <v>86</v>
      </c>
      <c r="D13" s="14" t="s">
        <v>27</v>
      </c>
      <c r="E13" s="14" t="s">
        <v>86</v>
      </c>
      <c r="F13" s="14" t="s">
        <v>28</v>
      </c>
      <c r="G13" s="14" t="s">
        <v>79</v>
      </c>
      <c r="H13" s="14" t="s">
        <v>87</v>
      </c>
      <c r="I13" s="14" t="s">
        <v>55</v>
      </c>
      <c r="J13" s="14" t="s">
        <v>88</v>
      </c>
      <c r="K13" s="14" t="s">
        <v>33</v>
      </c>
      <c r="L13" s="14" t="s">
        <v>82</v>
      </c>
      <c r="M13" s="14" t="s">
        <v>35</v>
      </c>
      <c r="N13" s="14" t="s">
        <v>36</v>
      </c>
      <c r="O13" s="14" t="s">
        <v>83</v>
      </c>
      <c r="P13" s="20" t="s">
        <v>89</v>
      </c>
    </row>
    <row r="14" spans="1:16" s="21" customFormat="1" ht="57" customHeight="1">
      <c r="A14" s="19" t="s">
        <v>90</v>
      </c>
      <c r="B14" s="14" t="s">
        <v>3</v>
      </c>
      <c r="C14" s="14" t="s">
        <v>86</v>
      </c>
      <c r="D14" s="14" t="s">
        <v>27</v>
      </c>
      <c r="E14" s="14" t="s">
        <v>86</v>
      </c>
      <c r="F14" s="14" t="s">
        <v>28</v>
      </c>
      <c r="G14" s="14" t="s">
        <v>79</v>
      </c>
      <c r="H14" s="14" t="s">
        <v>91</v>
      </c>
      <c r="I14" s="14" t="s">
        <v>55</v>
      </c>
      <c r="J14" s="14" t="s">
        <v>92</v>
      </c>
      <c r="K14" s="14" t="s">
        <v>33</v>
      </c>
      <c r="L14" s="14" t="s">
        <v>93</v>
      </c>
      <c r="M14" s="14" t="s">
        <v>35</v>
      </c>
      <c r="N14" s="14" t="s">
        <v>36</v>
      </c>
      <c r="O14" s="14" t="s">
        <v>58</v>
      </c>
      <c r="P14" s="20" t="s">
        <v>94</v>
      </c>
    </row>
    <row r="15" spans="1:16" s="21" customFormat="1" ht="57" customHeight="1">
      <c r="A15" s="19" t="s">
        <v>90</v>
      </c>
      <c r="B15" s="14" t="s">
        <v>3</v>
      </c>
      <c r="C15" s="14" t="s">
        <v>60</v>
      </c>
      <c r="D15" s="14" t="s">
        <v>27</v>
      </c>
      <c r="E15" s="14" t="s">
        <v>60</v>
      </c>
      <c r="F15" s="14" t="s">
        <v>28</v>
      </c>
      <c r="G15" s="14" t="s">
        <v>95</v>
      </c>
      <c r="H15" s="14" t="s">
        <v>96</v>
      </c>
      <c r="I15" s="14" t="s">
        <v>55</v>
      </c>
      <c r="J15" s="14" t="s">
        <v>92</v>
      </c>
      <c r="K15" s="14" t="s">
        <v>33</v>
      </c>
      <c r="L15" s="14" t="s">
        <v>93</v>
      </c>
      <c r="M15" s="14" t="s">
        <v>35</v>
      </c>
      <c r="N15" s="14" t="s">
        <v>36</v>
      </c>
      <c r="O15" s="14" t="s">
        <v>58</v>
      </c>
      <c r="P15" s="20" t="s">
        <v>97</v>
      </c>
    </row>
    <row r="16" spans="1:16" s="21" customFormat="1" ht="57" customHeight="1">
      <c r="A16" s="19" t="s">
        <v>90</v>
      </c>
      <c r="B16" s="14" t="s">
        <v>3</v>
      </c>
      <c r="C16" s="14" t="s">
        <v>60</v>
      </c>
      <c r="D16" s="14" t="s">
        <v>27</v>
      </c>
      <c r="E16" s="14" t="s">
        <v>60</v>
      </c>
      <c r="F16" s="14" t="s">
        <v>28</v>
      </c>
      <c r="G16" s="14" t="s">
        <v>98</v>
      </c>
      <c r="H16" s="14" t="s">
        <v>99</v>
      </c>
      <c r="I16" s="14" t="s">
        <v>55</v>
      </c>
      <c r="J16" s="14" t="s">
        <v>100</v>
      </c>
      <c r="K16" s="14" t="s">
        <v>33</v>
      </c>
      <c r="L16" s="14" t="s">
        <v>93</v>
      </c>
      <c r="M16" s="14" t="s">
        <v>35</v>
      </c>
      <c r="N16" s="14" t="s">
        <v>36</v>
      </c>
      <c r="O16" s="14" t="s">
        <v>58</v>
      </c>
      <c r="P16" s="20" t="s">
        <v>101</v>
      </c>
    </row>
    <row r="17" spans="1:16" s="21" customFormat="1" ht="57" customHeight="1">
      <c r="A17" s="19" t="s">
        <v>102</v>
      </c>
      <c r="B17" s="14" t="s">
        <v>3</v>
      </c>
      <c r="C17" s="14" t="s">
        <v>78</v>
      </c>
      <c r="D17" s="14" t="s">
        <v>27</v>
      </c>
      <c r="E17" s="14" t="s">
        <v>78</v>
      </c>
      <c r="F17" s="14" t="s">
        <v>28</v>
      </c>
      <c r="G17" s="14" t="s">
        <v>79</v>
      </c>
      <c r="H17" s="14" t="s">
        <v>45</v>
      </c>
      <c r="I17" s="14" t="s">
        <v>103</v>
      </c>
      <c r="J17" s="14" t="s">
        <v>104</v>
      </c>
      <c r="K17" s="14" t="s">
        <v>33</v>
      </c>
      <c r="L17" s="14" t="s">
        <v>105</v>
      </c>
      <c r="M17" s="14" t="s">
        <v>35</v>
      </c>
      <c r="N17" s="14" t="s">
        <v>36</v>
      </c>
      <c r="O17" s="14" t="s">
        <v>58</v>
      </c>
      <c r="P17" s="20" t="s">
        <v>106</v>
      </c>
    </row>
    <row r="18" spans="1:16" s="21" customFormat="1" ht="57" customHeight="1">
      <c r="A18" s="19" t="s">
        <v>107</v>
      </c>
      <c r="B18" s="14" t="s">
        <v>3</v>
      </c>
      <c r="C18" s="14" t="s">
        <v>86</v>
      </c>
      <c r="D18" s="14" t="s">
        <v>27</v>
      </c>
      <c r="E18" s="14" t="s">
        <v>86</v>
      </c>
      <c r="F18" s="14" t="s">
        <v>28</v>
      </c>
      <c r="G18" s="14" t="s">
        <v>108</v>
      </c>
      <c r="H18" s="14" t="s">
        <v>109</v>
      </c>
      <c r="I18" s="14" t="s">
        <v>110</v>
      </c>
      <c r="J18" s="14" t="s">
        <v>111</v>
      </c>
      <c r="K18" s="14" t="s">
        <v>33</v>
      </c>
      <c r="L18" s="14" t="s">
        <v>112</v>
      </c>
      <c r="M18" s="14" t="s">
        <v>35</v>
      </c>
      <c r="N18" s="14" t="s">
        <v>36</v>
      </c>
      <c r="O18" s="14" t="s">
        <v>58</v>
      </c>
      <c r="P18" s="20" t="s">
        <v>113</v>
      </c>
    </row>
    <row r="19" spans="1:16" s="21" customFormat="1" ht="57" customHeight="1">
      <c r="A19" s="19" t="s">
        <v>107</v>
      </c>
      <c r="B19" s="14" t="s">
        <v>3</v>
      </c>
      <c r="C19" s="14" t="s">
        <v>86</v>
      </c>
      <c r="D19" s="14" t="s">
        <v>27</v>
      </c>
      <c r="E19" s="14" t="s">
        <v>86</v>
      </c>
      <c r="F19" s="14" t="s">
        <v>28</v>
      </c>
      <c r="G19" s="14" t="s">
        <v>108</v>
      </c>
      <c r="H19" s="14" t="s">
        <v>114</v>
      </c>
      <c r="I19" s="14" t="s">
        <v>110</v>
      </c>
      <c r="J19" s="14" t="s">
        <v>115</v>
      </c>
      <c r="K19" s="14" t="s">
        <v>33</v>
      </c>
      <c r="L19" s="14" t="s">
        <v>112</v>
      </c>
      <c r="M19" s="14" t="s">
        <v>35</v>
      </c>
      <c r="N19" s="14" t="s">
        <v>36</v>
      </c>
      <c r="O19" s="14" t="s">
        <v>58</v>
      </c>
      <c r="P19" s="20" t="s">
        <v>116</v>
      </c>
    </row>
    <row r="20" spans="1:16" s="21" customFormat="1" ht="57" customHeight="1">
      <c r="A20" s="19" t="s">
        <v>107</v>
      </c>
      <c r="B20" s="14" t="s">
        <v>3</v>
      </c>
      <c r="C20" s="14" t="s">
        <v>60</v>
      </c>
      <c r="D20" s="14" t="s">
        <v>27</v>
      </c>
      <c r="E20" s="14" t="s">
        <v>60</v>
      </c>
      <c r="F20" s="14" t="s">
        <v>28</v>
      </c>
      <c r="G20" s="14" t="s">
        <v>117</v>
      </c>
      <c r="H20" s="14" t="s">
        <v>118</v>
      </c>
      <c r="I20" s="14" t="s">
        <v>119</v>
      </c>
      <c r="J20" s="14" t="s">
        <v>120</v>
      </c>
      <c r="K20" s="14" t="s">
        <v>33</v>
      </c>
      <c r="L20" s="14" t="s">
        <v>112</v>
      </c>
      <c r="M20" s="14" t="s">
        <v>35</v>
      </c>
      <c r="N20" s="14" t="s">
        <v>36</v>
      </c>
      <c r="O20" s="14" t="s">
        <v>58</v>
      </c>
      <c r="P20" s="20" t="s">
        <v>121</v>
      </c>
    </row>
    <row r="21" spans="1:16" s="21" customFormat="1" ht="57" customHeight="1">
      <c r="A21" s="19" t="s">
        <v>122</v>
      </c>
      <c r="B21" s="14" t="s">
        <v>3</v>
      </c>
      <c r="C21" s="14" t="s">
        <v>123</v>
      </c>
      <c r="D21" s="14" t="s">
        <v>27</v>
      </c>
      <c r="E21" s="14" t="s">
        <v>123</v>
      </c>
      <c r="F21" s="14" t="s">
        <v>28</v>
      </c>
      <c r="G21" s="14" t="s">
        <v>124</v>
      </c>
      <c r="H21" s="14" t="s">
        <v>45</v>
      </c>
      <c r="I21" s="14" t="s">
        <v>125</v>
      </c>
      <c r="J21" s="14" t="s">
        <v>329</v>
      </c>
      <c r="K21" s="14" t="s">
        <v>33</v>
      </c>
      <c r="L21" s="14" t="s">
        <v>126</v>
      </c>
      <c r="M21" s="14" t="s">
        <v>35</v>
      </c>
      <c r="N21" s="14" t="s">
        <v>36</v>
      </c>
      <c r="O21" s="14" t="s">
        <v>58</v>
      </c>
      <c r="P21" s="20" t="s">
        <v>127</v>
      </c>
    </row>
    <row r="22" spans="1:16" s="21" customFormat="1" ht="57" customHeight="1">
      <c r="A22" s="19" t="s">
        <v>128</v>
      </c>
      <c r="B22" s="14" t="s">
        <v>3</v>
      </c>
      <c r="C22" s="14" t="s">
        <v>129</v>
      </c>
      <c r="D22" s="14" t="s">
        <v>27</v>
      </c>
      <c r="E22" s="14" t="s">
        <v>129</v>
      </c>
      <c r="F22" s="14" t="s">
        <v>28</v>
      </c>
      <c r="G22" s="14" t="s">
        <v>130</v>
      </c>
      <c r="H22" s="14" t="s">
        <v>131</v>
      </c>
      <c r="I22" s="14" t="s">
        <v>132</v>
      </c>
      <c r="J22" s="14" t="s">
        <v>133</v>
      </c>
      <c r="K22" s="14" t="s">
        <v>33</v>
      </c>
      <c r="L22" s="14" t="s">
        <v>134</v>
      </c>
      <c r="M22" s="14" t="s">
        <v>35</v>
      </c>
      <c r="N22" s="14" t="s">
        <v>36</v>
      </c>
      <c r="O22" s="14" t="s">
        <v>37</v>
      </c>
      <c r="P22" s="20" t="s">
        <v>135</v>
      </c>
    </row>
    <row r="23" spans="1:16" s="21" customFormat="1" ht="57" customHeight="1">
      <c r="A23" s="19" t="s">
        <v>128</v>
      </c>
      <c r="B23" s="14" t="s">
        <v>3</v>
      </c>
      <c r="C23" s="14" t="s">
        <v>129</v>
      </c>
      <c r="D23" s="14" t="s">
        <v>27</v>
      </c>
      <c r="E23" s="14" t="s">
        <v>129</v>
      </c>
      <c r="F23" s="14" t="s">
        <v>28</v>
      </c>
      <c r="G23" s="14" t="s">
        <v>130</v>
      </c>
      <c r="H23" s="14" t="s">
        <v>136</v>
      </c>
      <c r="I23" s="14" t="s">
        <v>40</v>
      </c>
      <c r="J23" s="14" t="s">
        <v>137</v>
      </c>
      <c r="K23" s="14" t="s">
        <v>33</v>
      </c>
      <c r="L23" s="14" t="s">
        <v>138</v>
      </c>
      <c r="M23" s="14" t="s">
        <v>35</v>
      </c>
      <c r="N23" s="14" t="s">
        <v>36</v>
      </c>
      <c r="O23" s="14" t="s">
        <v>83</v>
      </c>
      <c r="P23" s="20" t="s">
        <v>139</v>
      </c>
    </row>
    <row r="24" spans="1:16" s="21" customFormat="1" ht="57" customHeight="1">
      <c r="A24" s="19" t="s">
        <v>140</v>
      </c>
      <c r="B24" s="14" t="s">
        <v>3</v>
      </c>
      <c r="C24" s="14" t="s">
        <v>129</v>
      </c>
      <c r="D24" s="14" t="s">
        <v>27</v>
      </c>
      <c r="E24" s="14" t="s">
        <v>129</v>
      </c>
      <c r="F24" s="14" t="s">
        <v>28</v>
      </c>
      <c r="G24" s="14" t="s">
        <v>141</v>
      </c>
      <c r="H24" s="14" t="s">
        <v>45</v>
      </c>
      <c r="I24" s="14" t="s">
        <v>110</v>
      </c>
      <c r="J24" s="14" t="s">
        <v>142</v>
      </c>
      <c r="K24" s="14" t="s">
        <v>33</v>
      </c>
      <c r="L24" s="14" t="s">
        <v>143</v>
      </c>
      <c r="M24" s="14" t="s">
        <v>35</v>
      </c>
      <c r="N24" s="14" t="s">
        <v>36</v>
      </c>
      <c r="O24" s="14" t="s">
        <v>58</v>
      </c>
      <c r="P24" s="20" t="s">
        <v>144</v>
      </c>
    </row>
    <row r="25" spans="1:16" s="21" customFormat="1" ht="57" customHeight="1">
      <c r="A25" s="19" t="s">
        <v>145</v>
      </c>
      <c r="B25" s="14" t="s">
        <v>5</v>
      </c>
      <c r="C25" s="14" t="s">
        <v>86</v>
      </c>
      <c r="D25" s="14" t="s">
        <v>27</v>
      </c>
      <c r="E25" s="14" t="s">
        <v>86</v>
      </c>
      <c r="F25" s="14" t="s">
        <v>146</v>
      </c>
      <c r="G25" s="14" t="s">
        <v>147</v>
      </c>
      <c r="H25" s="14" t="s">
        <v>148</v>
      </c>
      <c r="I25" s="14" t="s">
        <v>125</v>
      </c>
      <c r="J25" s="14" t="s">
        <v>149</v>
      </c>
      <c r="K25" s="14" t="s">
        <v>146</v>
      </c>
      <c r="L25" s="14" t="s">
        <v>150</v>
      </c>
      <c r="M25" s="14" t="s">
        <v>151</v>
      </c>
      <c r="N25" s="14" t="s">
        <v>36</v>
      </c>
      <c r="O25" s="14" t="s">
        <v>152</v>
      </c>
      <c r="P25" s="20" t="s">
        <v>153</v>
      </c>
    </row>
    <row r="26" spans="1:16" s="21" customFormat="1" ht="57" customHeight="1">
      <c r="A26" s="19" t="s">
        <v>154</v>
      </c>
      <c r="B26" s="14" t="s">
        <v>6</v>
      </c>
      <c r="C26" s="14" t="s">
        <v>86</v>
      </c>
      <c r="D26" s="14" t="s">
        <v>27</v>
      </c>
      <c r="E26" s="14" t="s">
        <v>86</v>
      </c>
      <c r="F26" s="14" t="s">
        <v>155</v>
      </c>
      <c r="G26" s="14" t="s">
        <v>79</v>
      </c>
      <c r="H26" s="14" t="s">
        <v>156</v>
      </c>
      <c r="I26" s="14" t="s">
        <v>330</v>
      </c>
      <c r="J26" s="14" t="s">
        <v>157</v>
      </c>
      <c r="K26" s="14" t="s">
        <v>146</v>
      </c>
      <c r="L26" s="14" t="s">
        <v>158</v>
      </c>
      <c r="M26" s="14" t="s">
        <v>151</v>
      </c>
      <c r="N26" s="14" t="s">
        <v>36</v>
      </c>
      <c r="O26" s="14" t="s">
        <v>152</v>
      </c>
      <c r="P26" s="20" t="s">
        <v>331</v>
      </c>
    </row>
    <row r="27" spans="1:16" s="21" customFormat="1" ht="57" customHeight="1">
      <c r="A27" s="19" t="s">
        <v>154</v>
      </c>
      <c r="B27" s="14" t="s">
        <v>6</v>
      </c>
      <c r="C27" s="14" t="s">
        <v>159</v>
      </c>
      <c r="D27" s="14" t="s">
        <v>27</v>
      </c>
      <c r="E27" s="14" t="s">
        <v>159</v>
      </c>
      <c r="F27" s="14" t="s">
        <v>155</v>
      </c>
      <c r="G27" s="14" t="s">
        <v>79</v>
      </c>
      <c r="H27" s="14" t="s">
        <v>160</v>
      </c>
      <c r="I27" s="14" t="s">
        <v>55</v>
      </c>
      <c r="J27" s="14" t="s">
        <v>161</v>
      </c>
      <c r="K27" s="14" t="s">
        <v>146</v>
      </c>
      <c r="L27" s="14" t="s">
        <v>162</v>
      </c>
      <c r="M27" s="14" t="s">
        <v>151</v>
      </c>
      <c r="N27" s="14" t="s">
        <v>36</v>
      </c>
      <c r="O27" s="14" t="s">
        <v>152</v>
      </c>
      <c r="P27" s="20" t="s">
        <v>163</v>
      </c>
    </row>
    <row r="28" spans="1:16" s="21" customFormat="1" ht="57" customHeight="1">
      <c r="A28" s="22" t="s">
        <v>164</v>
      </c>
      <c r="B28" s="23" t="s">
        <v>7</v>
      </c>
      <c r="C28" s="23" t="s">
        <v>165</v>
      </c>
      <c r="D28" s="23" t="s">
        <v>166</v>
      </c>
      <c r="E28" s="23" t="s">
        <v>165</v>
      </c>
      <c r="F28" s="23" t="s">
        <v>146</v>
      </c>
      <c r="G28" s="23" t="s">
        <v>124</v>
      </c>
      <c r="H28" s="23" t="s">
        <v>348</v>
      </c>
      <c r="I28" s="23" t="s">
        <v>110</v>
      </c>
      <c r="J28" s="23" t="s">
        <v>168</v>
      </c>
      <c r="K28" s="23" t="s">
        <v>146</v>
      </c>
      <c r="L28" s="23" t="s">
        <v>169</v>
      </c>
      <c r="M28" s="23" t="s">
        <v>151</v>
      </c>
      <c r="N28" s="23" t="s">
        <v>36</v>
      </c>
      <c r="O28" s="23" t="s">
        <v>170</v>
      </c>
      <c r="P28" s="24" t="s">
        <v>353</v>
      </c>
    </row>
  </sheetData>
  <phoneticPr fontId="5" type="noConversion"/>
  <conditionalFormatting sqref="N2:N28">
    <cfRule type="expression" dxfId="22" priority="1">
      <formula>N2="CURRENT"</formula>
    </cfRule>
    <cfRule type="expression" dxfId="21" priority="2">
      <formula>N2="PROPOSED"</formula>
    </cfRule>
    <cfRule type="expression" dxfId="20" priority="3">
      <formula>N2="REVIEW_REQUIRED"</formula>
    </cfRule>
    <cfRule type="expression" dxfId="19" priority="4">
      <formula>N2="DEFERRED"</formula>
    </cfRule>
  </conditionalFormatting>
  <dataValidations count="5">
    <dataValidation type="list" sqref="B2:B28" xr:uid="{00000000-0002-0000-0100-000000000000}">
      <formula1>"TICKET_ACTION,ACTION_SUBRESOURCE,TICKET_COMMAND,WORK_SESSION_COMMAND,SYSTEM_OPERATION"</formula1>
    </dataValidation>
    <dataValidation type="list" sqref="F2:F28" xr:uid="{00000000-0002-0000-0100-000001000000}">
      <formula1>"IMMUTABLE,AUTHOR_SOFT_DELETE_ONLY,SOFT_DELETE,NO_ACTION_ROW,WORK_SESSION_ROW"</formula1>
    </dataValidation>
    <dataValidation type="list" sqref="K2:K28" xr:uid="{00000000-0002-0000-0100-000002000000}">
      <formula1>"ACTION_ROW,NO_NEW_ACTION_ROW,NO_ACTION_ROW"</formula1>
    </dataValidation>
    <dataValidation type="list" sqref="M2:M28" xr:uid="{00000000-0002-0000-0100-000003000000}">
      <formula1>"ACTION_NO_REQUIRED,EXISTING_ACTION_NO,ACTION_NO_NULL"</formula1>
    </dataValidation>
    <dataValidation type="list" sqref="N2:N28" xr:uid="{00000000-0002-0000-0100-000004000000}">
      <formula1>"CURRENT,PROPOSED,REVIEW_REQUIRED,DEFERRED"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A2" sqref="A2:XFD16"/>
    </sheetView>
  </sheetViews>
  <sheetFormatPr defaultRowHeight="14.25"/>
  <cols>
    <col min="1" max="1" width="8.75" bestFit="1" customWidth="1"/>
    <col min="2" max="2" width="29.375" bestFit="1" customWidth="1"/>
    <col min="3" max="3" width="144.875" bestFit="1" customWidth="1"/>
    <col min="4" max="4" width="20.5" bestFit="1" customWidth="1"/>
  </cols>
  <sheetData>
    <row r="1" spans="1:4" ht="15">
      <c r="A1" s="4" t="s">
        <v>172</v>
      </c>
      <c r="B1" s="5" t="s">
        <v>173</v>
      </c>
      <c r="C1" s="5" t="s">
        <v>174</v>
      </c>
      <c r="D1" s="6" t="s">
        <v>22</v>
      </c>
    </row>
    <row r="2" spans="1:4">
      <c r="A2" s="7" t="s">
        <v>175</v>
      </c>
      <c r="B2" s="3" t="s">
        <v>176</v>
      </c>
      <c r="C2" s="3" t="s">
        <v>177</v>
      </c>
      <c r="D2" s="8" t="s">
        <v>36</v>
      </c>
    </row>
    <row r="3" spans="1:4">
      <c r="A3" s="7" t="s">
        <v>178</v>
      </c>
      <c r="B3" s="3" t="s">
        <v>179</v>
      </c>
      <c r="C3" s="3" t="s">
        <v>350</v>
      </c>
      <c r="D3" s="8" t="s">
        <v>36</v>
      </c>
    </row>
    <row r="4" spans="1:4">
      <c r="A4" s="7" t="s">
        <v>181</v>
      </c>
      <c r="B4" s="3" t="s">
        <v>182</v>
      </c>
      <c r="C4" s="3" t="s">
        <v>183</v>
      </c>
      <c r="D4" s="8" t="s">
        <v>36</v>
      </c>
    </row>
    <row r="5" spans="1:4">
      <c r="A5" s="7" t="s">
        <v>184</v>
      </c>
      <c r="B5" s="3" t="s">
        <v>185</v>
      </c>
      <c r="C5" s="3" t="s">
        <v>351</v>
      </c>
      <c r="D5" s="8" t="s">
        <v>36</v>
      </c>
    </row>
    <row r="6" spans="1:4">
      <c r="A6" s="7" t="s">
        <v>187</v>
      </c>
      <c r="B6" s="3" t="s">
        <v>188</v>
      </c>
      <c r="C6" s="3" t="s">
        <v>189</v>
      </c>
      <c r="D6" s="8" t="s">
        <v>36</v>
      </c>
    </row>
    <row r="7" spans="1:4">
      <c r="A7" s="7" t="s">
        <v>190</v>
      </c>
      <c r="B7" s="3" t="s">
        <v>191</v>
      </c>
      <c r="C7" s="3" t="s">
        <v>332</v>
      </c>
      <c r="D7" s="8" t="s">
        <v>36</v>
      </c>
    </row>
    <row r="8" spans="1:4">
      <c r="A8" s="7" t="s">
        <v>192</v>
      </c>
      <c r="B8" s="3" t="s">
        <v>193</v>
      </c>
      <c r="C8" s="3" t="s">
        <v>354</v>
      </c>
      <c r="D8" s="8" t="s">
        <v>36</v>
      </c>
    </row>
    <row r="9" spans="1:4">
      <c r="A9" s="7" t="s">
        <v>195</v>
      </c>
      <c r="B9" s="3" t="s">
        <v>196</v>
      </c>
      <c r="C9" s="3" t="s">
        <v>197</v>
      </c>
      <c r="D9" s="8" t="s">
        <v>36</v>
      </c>
    </row>
    <row r="10" spans="1:4">
      <c r="A10" s="7" t="s">
        <v>198</v>
      </c>
      <c r="B10" s="3" t="s">
        <v>199</v>
      </c>
      <c r="C10" s="3" t="s">
        <v>200</v>
      </c>
      <c r="D10" s="8" t="s">
        <v>36</v>
      </c>
    </row>
    <row r="11" spans="1:4">
      <c r="A11" s="7" t="s">
        <v>201</v>
      </c>
      <c r="B11" s="3" t="s">
        <v>202</v>
      </c>
      <c r="C11" s="3" t="s">
        <v>203</v>
      </c>
      <c r="D11" s="8" t="s">
        <v>36</v>
      </c>
    </row>
    <row r="12" spans="1:4">
      <c r="A12" s="7" t="s">
        <v>204</v>
      </c>
      <c r="B12" s="3" t="s">
        <v>205</v>
      </c>
      <c r="C12" s="3" t="s">
        <v>206</v>
      </c>
      <c r="D12" s="8" t="s">
        <v>36</v>
      </c>
    </row>
    <row r="13" spans="1:4">
      <c r="A13" s="7" t="s">
        <v>207</v>
      </c>
      <c r="B13" s="3" t="s">
        <v>208</v>
      </c>
      <c r="C13" s="3" t="s">
        <v>209</v>
      </c>
      <c r="D13" s="8" t="s">
        <v>36</v>
      </c>
    </row>
    <row r="14" spans="1:4">
      <c r="A14" s="7" t="s">
        <v>210</v>
      </c>
      <c r="B14" s="3" t="s">
        <v>211</v>
      </c>
      <c r="C14" s="3" t="s">
        <v>212</v>
      </c>
      <c r="D14" s="8" t="s">
        <v>36</v>
      </c>
    </row>
    <row r="15" spans="1:4">
      <c r="A15" s="9" t="s">
        <v>213</v>
      </c>
      <c r="B15" s="10" t="s">
        <v>214</v>
      </c>
      <c r="C15" s="10" t="s">
        <v>215</v>
      </c>
      <c r="D15" s="11" t="s">
        <v>36</v>
      </c>
    </row>
    <row r="16" spans="1:4">
      <c r="A16" t="s">
        <v>333</v>
      </c>
      <c r="B16" t="s">
        <v>334</v>
      </c>
      <c r="C16" t="s">
        <v>335</v>
      </c>
      <c r="D16" t="s">
        <v>324</v>
      </c>
    </row>
  </sheetData>
  <phoneticPr fontId="5" type="noConversion"/>
  <conditionalFormatting sqref="D2:D16">
    <cfRule type="expression" dxfId="18" priority="1">
      <formula>D2="CURRENT"</formula>
    </cfRule>
    <cfRule type="expression" dxfId="17" priority="2" stopIfTrue="1">
      <formula>D2="REVIEW_REQUIRED"</formula>
    </cfRule>
  </conditionalFormatting>
  <dataValidations count="2">
    <dataValidation type="list" sqref="D2:D15" xr:uid="{00000000-0002-0000-0200-000000000000}">
      <formula1>"CURRENT,PROPOSED,REVIEW_REQUIRED,DEFERRED"</formula1>
    </dataValidation>
    <dataValidation type="list" allowBlank="1" showInputMessage="1" showErrorMessage="1" sqref="D16" xr:uid="{A7FDEB8B-8E0C-484E-9296-B359761BDE7F}">
      <formula1>"CURRENT,PROPOSED,REVIEW_REQUIRED,DEFERRED"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workbookViewId="0">
      <selection activeCell="C32" sqref="C32"/>
    </sheetView>
  </sheetViews>
  <sheetFormatPr defaultRowHeight="14.25"/>
  <cols>
    <col min="1" max="1" width="17.5" bestFit="1" customWidth="1"/>
    <col min="2" max="2" width="31.375" bestFit="1" customWidth="1"/>
    <col min="3" max="3" width="108.5" customWidth="1"/>
  </cols>
  <sheetData>
    <row r="1" spans="1:3" ht="15">
      <c r="A1" s="4" t="s">
        <v>173</v>
      </c>
      <c r="B1" s="5" t="s">
        <v>216</v>
      </c>
      <c r="C1" s="6" t="s">
        <v>217</v>
      </c>
    </row>
    <row r="2" spans="1:3">
      <c r="A2" s="7" t="s">
        <v>1</v>
      </c>
      <c r="B2" s="3" t="s">
        <v>3</v>
      </c>
      <c r="C2" s="8" t="s">
        <v>218</v>
      </c>
    </row>
    <row r="3" spans="1:3">
      <c r="A3" s="7" t="s">
        <v>1</v>
      </c>
      <c r="B3" s="3" t="s">
        <v>4</v>
      </c>
      <c r="C3" s="8" t="s">
        <v>219</v>
      </c>
    </row>
    <row r="4" spans="1:3">
      <c r="A4" s="7" t="s">
        <v>1</v>
      </c>
      <c r="B4" s="3" t="s">
        <v>5</v>
      </c>
      <c r="C4" s="8" t="s">
        <v>220</v>
      </c>
    </row>
    <row r="5" spans="1:3">
      <c r="A5" s="7" t="s">
        <v>1</v>
      </c>
      <c r="B5" s="3" t="s">
        <v>6</v>
      </c>
      <c r="C5" s="8" t="s">
        <v>221</v>
      </c>
    </row>
    <row r="6" spans="1:3">
      <c r="A6" s="7" t="s">
        <v>1</v>
      </c>
      <c r="B6" s="3" t="s">
        <v>7</v>
      </c>
      <c r="C6" s="8" t="s">
        <v>222</v>
      </c>
    </row>
    <row r="7" spans="1:3">
      <c r="A7" s="7" t="s">
        <v>14</v>
      </c>
      <c r="B7" s="3" t="s">
        <v>28</v>
      </c>
      <c r="C7" s="8" t="s">
        <v>223</v>
      </c>
    </row>
    <row r="8" spans="1:3">
      <c r="A8" s="7" t="s">
        <v>14</v>
      </c>
      <c r="B8" s="3" t="s">
        <v>52</v>
      </c>
      <c r="C8" s="8" t="s">
        <v>224</v>
      </c>
    </row>
    <row r="9" spans="1:3">
      <c r="A9" s="7" t="s">
        <v>14</v>
      </c>
      <c r="B9" s="3" t="s">
        <v>64</v>
      </c>
      <c r="C9" s="8" t="s">
        <v>225</v>
      </c>
    </row>
    <row r="10" spans="1:3">
      <c r="A10" s="7" t="s">
        <v>14</v>
      </c>
      <c r="B10" s="3" t="s">
        <v>146</v>
      </c>
      <c r="C10" s="8" t="s">
        <v>226</v>
      </c>
    </row>
    <row r="11" spans="1:3">
      <c r="A11" s="7" t="s">
        <v>14</v>
      </c>
      <c r="B11" s="3" t="s">
        <v>155</v>
      </c>
      <c r="C11" s="8" t="s">
        <v>227</v>
      </c>
    </row>
    <row r="12" spans="1:3">
      <c r="A12" s="7" t="s">
        <v>19</v>
      </c>
      <c r="B12" s="3" t="s">
        <v>33</v>
      </c>
      <c r="C12" s="8" t="s">
        <v>228</v>
      </c>
    </row>
    <row r="13" spans="1:3">
      <c r="A13" s="7" t="s">
        <v>19</v>
      </c>
      <c r="B13" s="3" t="s">
        <v>67</v>
      </c>
      <c r="C13" s="8" t="s">
        <v>229</v>
      </c>
    </row>
    <row r="14" spans="1:3">
      <c r="A14" s="7" t="s">
        <v>19</v>
      </c>
      <c r="B14" s="3" t="s">
        <v>146</v>
      </c>
      <c r="C14" s="8" t="s">
        <v>230</v>
      </c>
    </row>
    <row r="15" spans="1:3">
      <c r="A15" s="7" t="s">
        <v>21</v>
      </c>
      <c r="B15" s="3" t="s">
        <v>35</v>
      </c>
      <c r="C15" s="8" t="s">
        <v>231</v>
      </c>
    </row>
    <row r="16" spans="1:3">
      <c r="A16" s="7" t="s">
        <v>21</v>
      </c>
      <c r="B16" s="3" t="s">
        <v>69</v>
      </c>
      <c r="C16" s="8" t="s">
        <v>232</v>
      </c>
    </row>
    <row r="17" spans="1:3">
      <c r="A17" s="7" t="s">
        <v>21</v>
      </c>
      <c r="B17" s="3" t="s">
        <v>151</v>
      </c>
      <c r="C17" s="8" t="s">
        <v>233</v>
      </c>
    </row>
    <row r="18" spans="1:3">
      <c r="A18" s="9" t="s">
        <v>22</v>
      </c>
      <c r="B18" s="10" t="s">
        <v>36</v>
      </c>
      <c r="C18" s="11" t="s">
        <v>234</v>
      </c>
    </row>
    <row r="19" spans="1:3">
      <c r="A19" t="s">
        <v>22</v>
      </c>
      <c r="B19" t="s">
        <v>324</v>
      </c>
      <c r="C19" t="s">
        <v>336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workbookViewId="0">
      <selection activeCell="C42" sqref="C42"/>
    </sheetView>
  </sheetViews>
  <sheetFormatPr defaultRowHeight="14.25"/>
  <cols>
    <col min="1" max="1" width="36.625" customWidth="1"/>
    <col min="2" max="2" width="30" bestFit="1" customWidth="1"/>
    <col min="3" max="3" width="15.125" bestFit="1" customWidth="1"/>
    <col min="4" max="4" width="22.375" bestFit="1" customWidth="1"/>
    <col min="5" max="5" width="22.625" customWidth="1"/>
    <col min="6" max="6" width="31.375" customWidth="1"/>
    <col min="7" max="7" width="35.875" bestFit="1" customWidth="1"/>
    <col min="8" max="8" width="28" customWidth="1"/>
    <col min="9" max="9" width="76.625" customWidth="1"/>
    <col min="10" max="10" width="34.625" customWidth="1"/>
  </cols>
  <sheetData>
    <row r="1" spans="1:10" ht="15">
      <c r="A1" s="4" t="s">
        <v>235</v>
      </c>
      <c r="B1" s="5" t="s">
        <v>236</v>
      </c>
      <c r="C1" s="5" t="s">
        <v>237</v>
      </c>
      <c r="D1" s="5"/>
      <c r="E1" s="5"/>
      <c r="F1" s="5" t="s">
        <v>238</v>
      </c>
      <c r="G1" s="5" t="s">
        <v>239</v>
      </c>
      <c r="H1" s="5"/>
      <c r="I1" s="5"/>
      <c r="J1" s="6" t="s">
        <v>240</v>
      </c>
    </row>
    <row r="2" spans="1:10" ht="15">
      <c r="A2" s="12" t="s">
        <v>235</v>
      </c>
      <c r="B2" s="1" t="s">
        <v>236</v>
      </c>
      <c r="C2" s="1" t="s">
        <v>241</v>
      </c>
      <c r="D2" s="1" t="s">
        <v>242</v>
      </c>
      <c r="E2" s="1" t="s">
        <v>243</v>
      </c>
      <c r="F2" s="1" t="s">
        <v>244</v>
      </c>
      <c r="G2" s="1" t="s">
        <v>245</v>
      </c>
      <c r="H2" s="1" t="s">
        <v>246</v>
      </c>
      <c r="I2" s="1" t="s">
        <v>247</v>
      </c>
      <c r="J2" s="13" t="s">
        <v>240</v>
      </c>
    </row>
    <row r="3" spans="1:10" ht="28.5" customHeight="1">
      <c r="A3" s="7" t="s">
        <v>248</v>
      </c>
      <c r="B3" s="3" t="s">
        <v>249</v>
      </c>
      <c r="C3" s="3" t="s">
        <v>250</v>
      </c>
      <c r="D3" s="3" t="s">
        <v>249</v>
      </c>
      <c r="E3" s="3" t="s">
        <v>166</v>
      </c>
      <c r="F3" s="3" t="s">
        <v>29</v>
      </c>
      <c r="G3" s="3" t="s">
        <v>251</v>
      </c>
      <c r="H3" s="3" t="s">
        <v>31</v>
      </c>
      <c r="I3" s="3" t="s">
        <v>252</v>
      </c>
      <c r="J3" s="8" t="s">
        <v>253</v>
      </c>
    </row>
    <row r="4" spans="1:10" ht="28.5" customHeight="1">
      <c r="A4" s="7"/>
      <c r="B4" s="3"/>
      <c r="C4" s="3"/>
      <c r="D4" s="3"/>
      <c r="E4" s="3"/>
      <c r="F4" s="3"/>
      <c r="G4" s="3" t="s">
        <v>254</v>
      </c>
      <c r="H4" s="3" t="s">
        <v>40</v>
      </c>
      <c r="I4" s="3" t="s">
        <v>255</v>
      </c>
      <c r="J4" s="8" t="s">
        <v>256</v>
      </c>
    </row>
    <row r="5" spans="1:10" ht="28.5" customHeight="1">
      <c r="A5" s="7" t="s">
        <v>257</v>
      </c>
      <c r="B5" s="3" t="s">
        <v>249</v>
      </c>
      <c r="C5" s="3" t="s">
        <v>250</v>
      </c>
      <c r="D5" s="3" t="s">
        <v>249</v>
      </c>
      <c r="E5" s="3" t="s">
        <v>166</v>
      </c>
      <c r="F5" s="3" t="s">
        <v>29</v>
      </c>
      <c r="G5" s="3"/>
      <c r="H5" s="3" t="s">
        <v>258</v>
      </c>
      <c r="I5" s="3" t="s">
        <v>259</v>
      </c>
      <c r="J5" s="8" t="s">
        <v>48</v>
      </c>
    </row>
    <row r="6" spans="1:10" ht="28.5" customHeight="1">
      <c r="A6" s="7" t="s">
        <v>260</v>
      </c>
      <c r="B6" s="3" t="s">
        <v>261</v>
      </c>
      <c r="C6" s="3" t="s">
        <v>262</v>
      </c>
      <c r="D6" s="3" t="s">
        <v>262</v>
      </c>
      <c r="E6" s="3" t="s">
        <v>263</v>
      </c>
      <c r="F6" s="3" t="s">
        <v>53</v>
      </c>
      <c r="G6" s="3"/>
      <c r="H6" s="3" t="s">
        <v>55</v>
      </c>
      <c r="I6" s="3" t="s">
        <v>264</v>
      </c>
      <c r="J6" s="8" t="s">
        <v>265</v>
      </c>
    </row>
    <row r="7" spans="1:10" ht="28.5" customHeight="1">
      <c r="A7" s="7"/>
      <c r="B7" s="3" t="s">
        <v>266</v>
      </c>
      <c r="C7" s="3" t="s">
        <v>262</v>
      </c>
      <c r="D7" s="3" t="s">
        <v>250</v>
      </c>
      <c r="E7" s="3" t="s">
        <v>263</v>
      </c>
      <c r="F7" s="3" t="s">
        <v>53</v>
      </c>
      <c r="G7" s="3"/>
      <c r="H7" s="3" t="s">
        <v>55</v>
      </c>
      <c r="I7" s="3" t="s">
        <v>264</v>
      </c>
      <c r="J7" s="8" t="s">
        <v>265</v>
      </c>
    </row>
    <row r="8" spans="1:10" ht="28.5" customHeight="1">
      <c r="A8" s="7" t="s">
        <v>267</v>
      </c>
      <c r="B8" s="3" t="s">
        <v>261</v>
      </c>
      <c r="C8" s="3" t="s">
        <v>262</v>
      </c>
      <c r="D8" s="3" t="s">
        <v>262</v>
      </c>
      <c r="E8" s="3" t="s">
        <v>263</v>
      </c>
      <c r="F8" s="3" t="s">
        <v>53</v>
      </c>
      <c r="G8" s="3"/>
      <c r="H8" s="3" t="s">
        <v>55</v>
      </c>
      <c r="I8" s="3" t="s">
        <v>264</v>
      </c>
      <c r="J8" s="8" t="s">
        <v>268</v>
      </c>
    </row>
    <row r="9" spans="1:10" ht="28.5" customHeight="1">
      <c r="A9" s="7"/>
      <c r="B9" s="3" t="s">
        <v>266</v>
      </c>
      <c r="C9" s="3" t="s">
        <v>262</v>
      </c>
      <c r="D9" s="3" t="s">
        <v>266</v>
      </c>
      <c r="E9" s="3" t="s">
        <v>263</v>
      </c>
      <c r="F9" s="3" t="s">
        <v>53</v>
      </c>
      <c r="G9" s="3"/>
      <c r="H9" s="3" t="s">
        <v>55</v>
      </c>
      <c r="I9" s="3" t="s">
        <v>264</v>
      </c>
      <c r="J9" s="8" t="s">
        <v>268</v>
      </c>
    </row>
    <row r="10" spans="1:10" ht="28.5" customHeight="1">
      <c r="A10" s="7" t="s">
        <v>269</v>
      </c>
      <c r="B10" s="3" t="s">
        <v>270</v>
      </c>
      <c r="C10" s="3" t="s">
        <v>250</v>
      </c>
      <c r="D10" s="3" t="s">
        <v>249</v>
      </c>
      <c r="E10" s="3" t="s">
        <v>166</v>
      </c>
      <c r="F10" s="3" t="s">
        <v>79</v>
      </c>
      <c r="G10" s="3"/>
      <c r="H10" s="3" t="s">
        <v>271</v>
      </c>
      <c r="I10" s="3" t="s">
        <v>272</v>
      </c>
      <c r="J10" s="8" t="s">
        <v>82</v>
      </c>
    </row>
    <row r="11" spans="1:10" ht="28.5" customHeight="1">
      <c r="A11" s="7"/>
      <c r="B11" s="3" t="s">
        <v>266</v>
      </c>
      <c r="C11" s="3" t="s">
        <v>250</v>
      </c>
      <c r="D11" s="3" t="s">
        <v>266</v>
      </c>
      <c r="E11" s="3" t="s">
        <v>166</v>
      </c>
      <c r="F11" s="3" t="s">
        <v>29</v>
      </c>
      <c r="G11" s="3"/>
      <c r="H11" s="3" t="s">
        <v>31</v>
      </c>
      <c r="I11" s="3" t="s">
        <v>273</v>
      </c>
      <c r="J11" s="8" t="s">
        <v>82</v>
      </c>
    </row>
    <row r="12" spans="1:10" ht="28.5" customHeight="1">
      <c r="A12" s="7" t="s">
        <v>274</v>
      </c>
      <c r="B12" s="3" t="s">
        <v>275</v>
      </c>
      <c r="C12" s="3" t="s">
        <v>250</v>
      </c>
      <c r="D12" s="3" t="s">
        <v>270</v>
      </c>
      <c r="E12" s="3" t="s">
        <v>166</v>
      </c>
      <c r="F12" s="3" t="s">
        <v>79</v>
      </c>
      <c r="G12" s="3"/>
      <c r="H12" s="3" t="s">
        <v>55</v>
      </c>
      <c r="I12" s="3" t="s">
        <v>276</v>
      </c>
      <c r="J12" s="8" t="s">
        <v>82</v>
      </c>
    </row>
    <row r="13" spans="1:10" ht="28.5" customHeight="1">
      <c r="A13" s="7" t="s">
        <v>277</v>
      </c>
      <c r="B13" s="3" t="s">
        <v>270</v>
      </c>
      <c r="C13" s="3" t="s">
        <v>250</v>
      </c>
      <c r="D13" s="3" t="s">
        <v>270</v>
      </c>
      <c r="E13" s="3" t="s">
        <v>166</v>
      </c>
      <c r="F13" s="3" t="s">
        <v>79</v>
      </c>
      <c r="G13" s="3"/>
      <c r="H13" s="3" t="s">
        <v>55</v>
      </c>
      <c r="I13" s="3" t="s">
        <v>278</v>
      </c>
      <c r="J13" s="8" t="s">
        <v>93</v>
      </c>
    </row>
    <row r="14" spans="1:10" ht="28.5" customHeight="1">
      <c r="A14" s="7"/>
      <c r="B14" s="3" t="s">
        <v>266</v>
      </c>
      <c r="C14" s="3" t="s">
        <v>250</v>
      </c>
      <c r="D14" s="3" t="s">
        <v>266</v>
      </c>
      <c r="E14" s="3" t="s">
        <v>166</v>
      </c>
      <c r="F14" s="3" t="s">
        <v>95</v>
      </c>
      <c r="G14" s="3"/>
      <c r="H14" s="3" t="s">
        <v>55</v>
      </c>
      <c r="I14" s="3" t="s">
        <v>278</v>
      </c>
      <c r="J14" s="8" t="s">
        <v>93</v>
      </c>
    </row>
    <row r="15" spans="1:10" ht="28.5" customHeight="1">
      <c r="A15" s="7"/>
      <c r="B15" s="3" t="s">
        <v>266</v>
      </c>
      <c r="C15" s="3" t="s">
        <v>250</v>
      </c>
      <c r="D15" s="3" t="s">
        <v>266</v>
      </c>
      <c r="E15" s="3" t="s">
        <v>166</v>
      </c>
      <c r="F15" s="3" t="s">
        <v>98</v>
      </c>
      <c r="G15" s="3"/>
      <c r="H15" s="3" t="s">
        <v>55</v>
      </c>
      <c r="I15" s="3" t="s">
        <v>279</v>
      </c>
      <c r="J15" s="8" t="s">
        <v>93</v>
      </c>
    </row>
    <row r="16" spans="1:10" ht="28.5" customHeight="1">
      <c r="A16" s="7" t="s">
        <v>280</v>
      </c>
      <c r="B16" s="3" t="s">
        <v>249</v>
      </c>
      <c r="C16" s="3" t="s">
        <v>250</v>
      </c>
      <c r="D16" s="3" t="s">
        <v>249</v>
      </c>
      <c r="E16" s="3" t="s">
        <v>166</v>
      </c>
      <c r="F16" s="3" t="s">
        <v>79</v>
      </c>
      <c r="G16" s="3"/>
      <c r="H16" s="3" t="s">
        <v>103</v>
      </c>
      <c r="I16" s="3" t="s">
        <v>281</v>
      </c>
      <c r="J16" s="8" t="s">
        <v>105</v>
      </c>
    </row>
    <row r="17" spans="1:10" ht="28.5" customHeight="1">
      <c r="A17" s="7" t="s">
        <v>282</v>
      </c>
      <c r="B17" s="3" t="s">
        <v>270</v>
      </c>
      <c r="C17" s="3" t="s">
        <v>250</v>
      </c>
      <c r="D17" s="3" t="s">
        <v>270</v>
      </c>
      <c r="E17" s="3" t="s">
        <v>166</v>
      </c>
      <c r="F17" s="3" t="s">
        <v>108</v>
      </c>
      <c r="G17" s="3"/>
      <c r="H17" s="3" t="s">
        <v>110</v>
      </c>
      <c r="I17" s="3" t="s">
        <v>283</v>
      </c>
      <c r="J17" s="8" t="s">
        <v>112</v>
      </c>
    </row>
    <row r="18" spans="1:10" ht="28.5" customHeight="1">
      <c r="A18" s="7"/>
      <c r="B18" s="3" t="s">
        <v>266</v>
      </c>
      <c r="C18" s="3" t="s">
        <v>250</v>
      </c>
      <c r="D18" s="3" t="s">
        <v>266</v>
      </c>
      <c r="E18" s="3" t="s">
        <v>166</v>
      </c>
      <c r="F18" s="3" t="s">
        <v>117</v>
      </c>
      <c r="G18" s="3"/>
      <c r="H18" s="3" t="s">
        <v>119</v>
      </c>
      <c r="I18" s="3" t="s">
        <v>284</v>
      </c>
      <c r="J18" s="8" t="s">
        <v>112</v>
      </c>
    </row>
    <row r="19" spans="1:10" ht="28.5" customHeight="1">
      <c r="A19" s="7" t="s">
        <v>285</v>
      </c>
      <c r="B19" s="3" t="s">
        <v>286</v>
      </c>
      <c r="C19" s="3" t="s">
        <v>250</v>
      </c>
      <c r="D19" s="3" t="s">
        <v>286</v>
      </c>
      <c r="E19" s="3" t="s">
        <v>166</v>
      </c>
      <c r="F19" s="3" t="s">
        <v>124</v>
      </c>
      <c r="G19" s="3"/>
      <c r="H19" s="3" t="s">
        <v>125</v>
      </c>
      <c r="I19" s="3"/>
      <c r="J19" s="8" t="s">
        <v>126</v>
      </c>
    </row>
    <row r="20" spans="1:10" ht="28.5" customHeight="1">
      <c r="A20" s="7" t="s">
        <v>287</v>
      </c>
      <c r="B20" s="3" t="s">
        <v>288</v>
      </c>
      <c r="C20" s="3" t="s">
        <v>250</v>
      </c>
      <c r="D20" s="3" t="s">
        <v>288</v>
      </c>
      <c r="E20" s="3" t="s">
        <v>166</v>
      </c>
      <c r="F20" s="3" t="s">
        <v>130</v>
      </c>
      <c r="G20" s="3" t="s">
        <v>251</v>
      </c>
      <c r="H20" s="3" t="s">
        <v>132</v>
      </c>
      <c r="I20" s="3" t="s">
        <v>252</v>
      </c>
      <c r="J20" s="8" t="s">
        <v>289</v>
      </c>
    </row>
    <row r="21" spans="1:10" ht="28.5" customHeight="1">
      <c r="A21" s="7"/>
      <c r="B21" s="3"/>
      <c r="C21" s="3"/>
      <c r="D21" s="3"/>
      <c r="E21" s="3" t="s">
        <v>166</v>
      </c>
      <c r="F21" s="3"/>
      <c r="G21" s="3" t="s">
        <v>254</v>
      </c>
      <c r="H21" s="3" t="s">
        <v>40</v>
      </c>
      <c r="I21" s="3" t="s">
        <v>255</v>
      </c>
      <c r="J21" s="8" t="s">
        <v>290</v>
      </c>
    </row>
    <row r="22" spans="1:10" ht="28.5" customHeight="1">
      <c r="A22" s="7" t="s">
        <v>291</v>
      </c>
      <c r="B22" s="3" t="s">
        <v>288</v>
      </c>
      <c r="C22" s="3" t="s">
        <v>250</v>
      </c>
      <c r="D22" s="3" t="s">
        <v>288</v>
      </c>
      <c r="E22" s="3" t="s">
        <v>166</v>
      </c>
      <c r="F22" s="3" t="s">
        <v>141</v>
      </c>
      <c r="G22" s="3"/>
      <c r="H22" s="3" t="s">
        <v>110</v>
      </c>
      <c r="I22" s="3" t="s">
        <v>292</v>
      </c>
      <c r="J22" s="8" t="s">
        <v>143</v>
      </c>
    </row>
    <row r="23" spans="1:10" ht="28.5" customHeight="1">
      <c r="A23" s="7" t="s">
        <v>293</v>
      </c>
      <c r="B23" s="3" t="s">
        <v>294</v>
      </c>
      <c r="C23" s="3" t="s">
        <v>262</v>
      </c>
      <c r="D23" s="3" t="s">
        <v>294</v>
      </c>
      <c r="E23" s="3" t="s">
        <v>166</v>
      </c>
      <c r="F23" s="3" t="s">
        <v>147</v>
      </c>
      <c r="G23" s="3"/>
      <c r="H23" s="3" t="s">
        <v>125</v>
      </c>
      <c r="I23" s="3" t="s">
        <v>295</v>
      </c>
      <c r="J23" s="8" t="s">
        <v>296</v>
      </c>
    </row>
    <row r="24" spans="1:10" ht="28.5" customHeight="1">
      <c r="A24" s="7" t="s">
        <v>297</v>
      </c>
      <c r="B24" s="3" t="s">
        <v>298</v>
      </c>
      <c r="C24" s="3" t="s">
        <v>262</v>
      </c>
      <c r="D24" s="3" t="s">
        <v>298</v>
      </c>
      <c r="E24" s="3" t="s">
        <v>166</v>
      </c>
      <c r="F24" s="3" t="s">
        <v>79</v>
      </c>
      <c r="G24" s="3" t="s">
        <v>299</v>
      </c>
      <c r="H24" s="3" t="s">
        <v>300</v>
      </c>
      <c r="I24" s="3" t="s">
        <v>301</v>
      </c>
      <c r="J24" s="8" t="s">
        <v>302</v>
      </c>
    </row>
    <row r="25" spans="1:10">
      <c r="A25" s="7"/>
      <c r="B25" s="3"/>
      <c r="C25" s="3"/>
      <c r="D25" s="3"/>
      <c r="E25" s="3"/>
      <c r="F25" s="3"/>
      <c r="G25" s="3"/>
      <c r="H25" s="3"/>
      <c r="I25" s="3"/>
      <c r="J25" s="8"/>
    </row>
    <row r="26" spans="1:10">
      <c r="A26" s="7" t="s">
        <v>303</v>
      </c>
      <c r="B26" s="3"/>
      <c r="C26" s="3"/>
      <c r="D26" s="3"/>
      <c r="E26" s="3"/>
      <c r="F26" s="3"/>
      <c r="G26" s="3"/>
      <c r="H26" s="3"/>
      <c r="I26" s="3"/>
      <c r="J26" s="8"/>
    </row>
    <row r="27" spans="1:10">
      <c r="A27" s="25" t="s">
        <v>304</v>
      </c>
      <c r="B27" s="3"/>
      <c r="C27" s="3"/>
      <c r="D27" s="3"/>
      <c r="E27" s="3"/>
      <c r="F27" s="3"/>
      <c r="G27" s="3"/>
      <c r="H27" s="3"/>
      <c r="I27" s="3"/>
      <c r="J27" s="8"/>
    </row>
    <row r="28" spans="1:10">
      <c r="A28" s="25" t="s">
        <v>305</v>
      </c>
      <c r="B28" s="3"/>
      <c r="C28" s="3"/>
      <c r="D28" s="3"/>
      <c r="E28" s="3"/>
      <c r="F28" s="3"/>
      <c r="G28" s="3"/>
      <c r="H28" s="3"/>
      <c r="I28" s="3"/>
      <c r="J28" s="8"/>
    </row>
    <row r="29" spans="1:10">
      <c r="A29" s="25" t="s">
        <v>306</v>
      </c>
      <c r="B29" s="3"/>
      <c r="C29" s="3"/>
      <c r="D29" s="3"/>
      <c r="E29" s="3"/>
      <c r="F29" s="3"/>
      <c r="G29" s="3"/>
      <c r="H29" s="3"/>
      <c r="I29" s="3"/>
      <c r="J29" s="8"/>
    </row>
    <row r="30" spans="1:10">
      <c r="A30" s="25" t="s">
        <v>307</v>
      </c>
      <c r="B30" s="3"/>
      <c r="C30" s="3"/>
      <c r="D30" s="3"/>
      <c r="E30" s="3"/>
      <c r="F30" s="3"/>
      <c r="G30" s="3"/>
      <c r="H30" s="3"/>
      <c r="I30" s="3"/>
      <c r="J30" s="8"/>
    </row>
    <row r="31" spans="1:10">
      <c r="A31" s="25" t="s">
        <v>308</v>
      </c>
      <c r="B31" s="3"/>
      <c r="C31" s="3"/>
      <c r="D31" s="3"/>
      <c r="E31" s="3"/>
      <c r="F31" s="3"/>
      <c r="G31" s="3"/>
      <c r="H31" s="3"/>
      <c r="I31" s="3"/>
      <c r="J31" s="8"/>
    </row>
    <row r="32" spans="1:10">
      <c r="A32" s="25" t="s">
        <v>309</v>
      </c>
      <c r="B32" s="3"/>
      <c r="C32" s="3"/>
      <c r="D32" s="3"/>
      <c r="E32" s="3"/>
      <c r="F32" s="3"/>
      <c r="G32" s="3"/>
      <c r="H32" s="3"/>
      <c r="I32" s="3"/>
      <c r="J32" s="8"/>
    </row>
    <row r="33" spans="1:10">
      <c r="A33" s="25" t="s">
        <v>310</v>
      </c>
      <c r="B33" s="3"/>
      <c r="C33" s="3"/>
      <c r="D33" s="3"/>
      <c r="E33" s="3"/>
      <c r="F33" s="3"/>
      <c r="G33" s="3"/>
      <c r="H33" s="3"/>
      <c r="I33" s="3"/>
      <c r="J33" s="8"/>
    </row>
    <row r="34" spans="1:10">
      <c r="A34" s="25" t="s">
        <v>311</v>
      </c>
      <c r="B34" s="3"/>
      <c r="C34" s="3"/>
      <c r="D34" s="3"/>
      <c r="E34" s="3"/>
      <c r="F34" s="3"/>
      <c r="G34" s="3"/>
      <c r="H34" s="3"/>
      <c r="I34" s="3"/>
      <c r="J34" s="8"/>
    </row>
    <row r="35" spans="1:10">
      <c r="A35" s="25" t="s">
        <v>312</v>
      </c>
      <c r="B35" s="3"/>
      <c r="C35" s="3"/>
      <c r="D35" s="3"/>
      <c r="E35" s="3"/>
      <c r="F35" s="3"/>
      <c r="G35" s="3"/>
      <c r="H35" s="3"/>
      <c r="I35" s="3"/>
      <c r="J35" s="8"/>
    </row>
    <row r="36" spans="1:10">
      <c r="A36" s="25" t="s">
        <v>313</v>
      </c>
      <c r="B36" s="3"/>
      <c r="C36" s="3"/>
      <c r="D36" s="3"/>
      <c r="E36" s="3"/>
      <c r="F36" s="3"/>
      <c r="G36" s="3"/>
      <c r="H36" s="3"/>
      <c r="I36" s="3"/>
      <c r="J36" s="8"/>
    </row>
    <row r="37" spans="1:10">
      <c r="A37" s="25" t="s">
        <v>314</v>
      </c>
      <c r="B37" s="3"/>
      <c r="C37" s="3"/>
      <c r="D37" s="3"/>
      <c r="E37" s="3"/>
      <c r="F37" s="3"/>
      <c r="G37" s="3"/>
      <c r="H37" s="3"/>
      <c r="I37" s="3"/>
      <c r="J37" s="8"/>
    </row>
    <row r="38" spans="1:10">
      <c r="A38" s="26" t="s">
        <v>315</v>
      </c>
      <c r="B38" s="10"/>
      <c r="C38" s="10"/>
      <c r="D38" s="10"/>
      <c r="E38" s="10"/>
      <c r="F38" s="10"/>
      <c r="G38" s="10"/>
      <c r="H38" s="10"/>
      <c r="I38" s="10"/>
      <c r="J38" s="11"/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README</vt:lpstr>
      <vt:lpstr>Workflow Matrix</vt:lpstr>
      <vt:lpstr>Common Rules</vt:lpstr>
      <vt:lpstr>Legend</vt:lpstr>
      <vt:lpstr>Legacy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성환 정</cp:lastModifiedBy>
  <dcterms:modified xsi:type="dcterms:W3CDTF">2026-08-03T14:06:13Z</dcterms:modified>
</cp:coreProperties>
</file>
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GitHub\sunghwan-portal\docs\ko\03-domain\service-desk\ticket\reference\"/>
    </mc:Choice>
  </mc:AlternateContent>
  <xr:revisionPtr revIDLastSave="0" documentId="13_ncr:1_{58E228ED-702B-465A-9710-349ED3137685}" xr6:coauthVersionLast="47" xr6:coauthVersionMax="47" xr10:uidLastSave="{00000000-0000-0000-0000-000000000000}"/>
  <bookViews>
    <workbookView xWindow="5610" yWindow="3135" windowWidth="21120" windowHeight="14730" xr2:uid="{00000000-000D-0000-FFFF-FFFF00000000}"/>
  </bookViews>
  <sheets>
    <sheet name="README" sheetId="1" r:id="rId1"/>
    <sheet name="Policy Matrix" sheetId="2" r:id="rId2"/>
    <sheet name="Open Decisions" sheetId="3" r:id="rId3"/>
    <sheet name="Legend" sheetId="4" r:id="rId4"/>
    <sheet name="Legacy Inpu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 l="1"/>
  <c r="B7" i="1"/>
  <c r="B6" i="1"/>
  <c r="B5" i="1"/>
</calcChain>
</file>

<file path=xl/sharedStrings.xml><?xml version="1.0" encoding="utf-8"?>
<sst xmlns="http://schemas.openxmlformats.org/spreadsheetml/2006/main" count="1182" uniqueCount="210">
  <si>
    <t>CURRENT</t>
  </si>
  <si>
    <t>PROPOSED</t>
  </si>
  <si>
    <t>REVIEW_REQUIRED</t>
  </si>
  <si>
    <t>DEFERRED</t>
  </si>
  <si>
    <t>OWNER_COMPANY_USER</t>
  </si>
  <si>
    <t>ANY</t>
  </si>
  <si>
    <t>SEARCH</t>
  </si>
  <si>
    <t>FILTER</t>
  </si>
  <si>
    <t>REQUESTER</t>
  </si>
  <si>
    <t>AUTHORIZED_TICKET_RESULT_FACET</t>
  </si>
  <si>
    <t>INCLUDE_INACTIVE_IF_PRESENT_IN_RESULTS</t>
  </si>
  <si>
    <t>SERVER_RESOLVED</t>
  </si>
  <si>
    <t>ASSIGNEE</t>
  </si>
  <si>
    <t>CREATE_DIALOG</t>
  </si>
  <si>
    <t>SELECT</t>
  </si>
  <si>
    <t>EMAIL_RECIPIENT</t>
  </si>
  <si>
    <t>ACTOR_COMPANY</t>
  </si>
  <si>
    <t>ACTIVE_ONLY</t>
  </si>
  <si>
    <t>INTERNAL</t>
  </si>
  <si>
    <t>LIST</t>
  </si>
  <si>
    <t>HISTORICAL_DISPLAY</t>
  </si>
  <si>
    <t>REFERENCED_IDENTITIES_ONLY</t>
  </si>
  <si>
    <t>INCLUDE_INACTIVE_REFERENCED</t>
  </si>
  <si>
    <t>READ_ONLY</t>
  </si>
  <si>
    <t>PORTAL</t>
  </si>
  <si>
    <t>UPDATE_DIALOG</t>
  </si>
  <si>
    <t>SUMMARY</t>
  </si>
  <si>
    <t>ACTION_ACTOR</t>
  </si>
  <si>
    <t>ASIDE</t>
  </si>
  <si>
    <t>ACTION_TOOL</t>
  </si>
  <si>
    <t>WORK_OR_APPROVAL_ASSIGNEE</t>
  </si>
  <si>
    <t>PHASE_AWARE_ASSIGNMENT_POLICY</t>
  </si>
  <si>
    <t>ACTION_LIST</t>
  </si>
  <si>
    <t>CHART</t>
  </si>
  <si>
    <t>AGGREGATE</t>
  </si>
  <si>
    <t>DEPARTMENT</t>
  </si>
  <si>
    <t>AUTHORIZED_TICKET_AGGREGATE</t>
  </si>
  <si>
    <t>TENANT</t>
  </si>
  <si>
    <t>TENANT_COMPANY_USER</t>
  </si>
  <si>
    <t>OWNER_ADMIN</t>
  </si>
  <si>
    <t>OWNER_TENANT</t>
  </si>
  <si>
    <t>APPROVAL_STEP</t>
  </si>
  <si>
    <t>APPROVER</t>
  </si>
  <si>
    <t>OWNER_COMPANY</t>
  </si>
  <si>
    <t>TENANT_ADMIN</t>
  </si>
  <si>
    <t>CUSTOMER_INTERNAL</t>
  </si>
  <si>
    <t>CATEGORY_TENANT_COMPANY</t>
  </si>
  <si>
    <t>CUSTOMER_PORTAL</t>
  </si>
  <si>
    <t>OWNER_INTERNAL</t>
  </si>
  <si>
    <t>ASSIGNMENT_RULE</t>
  </si>
  <si>
    <t>WORK_ASSIGNEE</t>
  </si>
  <si>
    <t>CUSTOMER_PORTAL_JOINT</t>
  </si>
  <si>
    <t>OWNER_AND_CATEGORY_TENANT_IF_ENABLED</t>
  </si>
  <si>
    <t>APPROVAL_STEP_READ</t>
  </si>
  <si>
    <t>EMP-001</t>
  </si>
  <si>
    <t>OPEN</t>
  </si>
  <si>
    <t>EMP-002</t>
  </si>
  <si>
    <t>EMP-003</t>
  </si>
  <si>
    <t>EMP-004</t>
  </si>
  <si>
    <t>EMP-005</t>
  </si>
  <si>
    <t>EMP-006</t>
  </si>
  <si>
    <t>EMP-007</t>
  </si>
  <si>
    <t>CURRENT</t>
    <phoneticPr fontId="5" type="noConversion"/>
  </si>
  <si>
    <t>RESOLVED</t>
    <phoneticPr fontId="5" type="noConversion"/>
  </si>
  <si>
    <t>RESOLVED</t>
  </si>
  <si>
    <t>서비스 데스크 직원 참조 범위 매트릭스</t>
    <phoneticPr fontId="5" type="noConversion"/>
  </si>
  <si>
    <t>restrict employee list.xlsx를 확장했습니다. 이 워크북은 후보 선택, 검색 필터링, 과거 참조 표시, 집계 라벨링을 구분합니다.</t>
    <phoneticPr fontId="5" type="noConversion"/>
  </si>
  <si>
    <t>상태</t>
    <phoneticPr fontId="5" type="noConversion"/>
  </si>
  <si>
    <t>개수</t>
    <phoneticPr fontId="5" type="noConversion"/>
  </si>
  <si>
    <t>워크북 사용 방법</t>
    <phoneticPr fontId="5" type="noConversion"/>
  </si>
  <si>
    <t>1. CURRENT 행은 구현 또는 문서로 뒷받침된 규칙으로 취급하고 알려진 제약은 비고를 확인합니다.
2. PROPOSED 행은 아직 완전히 강제되지 않는 권장 정책입니다.
3. REVIEW_REQUIRED와 남은 Open Decisions를 해결하기 전에는 해당 행을 정규 규칙으로 취급하지 않습니다.
4. 후보 검색은 서버 권한 검증이나 라우팅 시점 적격성 검증을 대신하지 않습니다.
5. 과거 참조 표시는 참조된 identity만 해석하며 직원 디렉터리 접근 권한을 부여하지 않습니다.</t>
    <phoneticPr fontId="5" type="noConversion"/>
  </si>
  <si>
    <t>핵심 정책 경계</t>
    <phoneticPr fontId="5" type="noConversion"/>
  </si>
  <si>
    <t>후보 선택 -&gt; 활성 상태이며 서버가 권한을 확인한 직원 범위
검색 필터링 -&gt; 이미 권한이 확인된 티켓 결과에서 파생된 옵션
과거 참조 표시 -&gt; 비활성 직원을 포함한 참조 identity
집계 라벨링 -&gt; 일반 직원 디렉터리가 아닌 권한이 적용된 티켓 데이터셋</t>
    <phoneticPr fontId="5" type="noConversion"/>
  </si>
  <si>
    <t>사용자 범위</t>
    <phoneticPr fontId="5" type="noConversion"/>
  </si>
  <si>
    <t>화면</t>
    <phoneticPr fontId="5" type="noConversion"/>
  </si>
  <si>
    <t>테넌트/카테고리 범위</t>
    <phoneticPr fontId="5" type="noConversion"/>
  </si>
  <si>
    <t>구성 요소</t>
    <phoneticPr fontId="5" type="noConversion"/>
  </si>
  <si>
    <t>참조 목적</t>
    <phoneticPr fontId="5" type="noConversion"/>
  </si>
  <si>
    <t>참조 대상</t>
    <phoneticPr fontId="5" type="noConversion"/>
  </si>
  <si>
    <t>출처 경계</t>
    <phoneticPr fontId="5" type="noConversion"/>
  </si>
  <si>
    <t>활성 정책</t>
    <phoneticPr fontId="5" type="noConversion"/>
  </si>
  <si>
    <t>접근 모드</t>
    <phoneticPr fontId="5" type="noConversion"/>
  </si>
  <si>
    <t>권한 기준</t>
    <phoneticPr fontId="5" type="noConversion"/>
  </si>
  <si>
    <t>출처 문서</t>
    <phoneticPr fontId="5" type="noConversion"/>
  </si>
  <si>
    <t>비고</t>
    <phoneticPr fontId="5" type="noConversion"/>
  </si>
  <si>
    <t>티켓 목록</t>
    <phoneticPr fontId="5" type="noConversion"/>
  </si>
  <si>
    <t>구현됨: 요청자와 담당자 옵션은 페이지네이션 전에 서버가 권한을 확인하고 필터링한 티켓 결과에서 파생한 facet입니다. facet 선택은 기존 권한 범위의 query만 좁힙니다.</t>
    <phoneticPr fontId="5" type="noConversion"/>
  </si>
  <si>
    <t>docs/ko/03-domain/service-desk/ticket/reference/ticket-operation-rules.md; docs/ko/03-domain/service-desk/ticket/ticket-system-overview.md</t>
    <phoneticPr fontId="5" type="noConversion"/>
  </si>
  <si>
    <t>현재 UI 후보는 effective actor 회사로 필터링한 활성 직원입니다. 티켓 쓰기 경계는 직원/회사 적격성을 재검증하지 않고 수신자 주소 배열을 받으므로 회사 간, 외부 주소, 비활성 저장 수신자 정책은 PROPOSED로 유지합니다.</t>
    <phoneticPr fontId="5" type="noConversion"/>
  </si>
  <si>
    <t>docs/ko/04-engineering/forms/ticket-form.md; docs/ko/03-domain/service-desk/ticket/ticket-model.md</t>
    <phoneticPr fontId="5" type="noConversion"/>
  </si>
  <si>
    <t>티켓 목록 - INTERNAL</t>
    <phoneticPr fontId="5" type="noConversion"/>
  </si>
  <si>
    <t>티켓/액션/이력에서 참조된 사용자명만 해석합니다. 비활성 직원도 계속 표시할 수 있지만 디렉터리 검색 권한을 부여하지는 않습니다. 기존 메모: 비활성 직원도 표시해야 함</t>
    <phoneticPr fontId="5" type="noConversion"/>
  </si>
  <si>
    <t>docs/ko/03-domain/service-desk/ticket/ticket-model.md; docs/ko/03-domain/service-desk/ticket/ticket-action.md; docs/ko/03-domain/service-desk/ticket/ticket-history.md</t>
    <phoneticPr fontId="5" type="noConversion"/>
  </si>
  <si>
    <t>티켓 목록 - PORTAL</t>
    <phoneticPr fontId="5" type="noConversion"/>
  </si>
  <si>
    <t>티켓 상세</t>
    <phoneticPr fontId="5" type="noConversion"/>
  </si>
  <si>
    <t>티켓 상세 - INTERNAL</t>
    <phoneticPr fontId="5" type="noConversion"/>
  </si>
  <si>
    <t>현재 액션 도구는 effective actor 회사의 활성 직원을 받습니다. ASSIGN 명령은 행위자, 상태, 비어 있지 않은 사용자명 목록을 검증하지만 승인 단계, 카테고리 테넌트, 저장된 할당 규칙에 따라 후보를 재검증하지 않습니다. REVIEW_REQUIRED를 유지합니다.</t>
    <phoneticPr fontId="5" type="noConversion"/>
  </si>
  <si>
    <t>docs/ko/03-domain/service-desk/ticket/strategy/assignment-policy.md; docs/ko/03-domain/service-desk/ticket/strategy/approval-system.md; docs/ko/03-domain/service-desk/ticket/reference/ticket-operation-rules.md</t>
    <phoneticPr fontId="5" type="noConversion"/>
  </si>
  <si>
    <t>티켓 상세 - PORTAL</t>
    <phoneticPr fontId="5" type="noConversion"/>
  </si>
  <si>
    <t>인사이트 - INTERNAL</t>
    <phoneticPr fontId="5" type="noConversion"/>
  </si>
  <si>
    <t>구현 경계: 차트는 권한이 적용된 티켓 검색 경로가 반환한 티켓 항목을 집계하고 티켓에 투영된 라벨을 사용합니다. 제한 없는 직원 디렉터리 query는 사용하지 않습니다. 이벤트 시점 조직 스냅샷은 구현되지 않았습니다. EMP-006을 참고합니다.</t>
    <phoneticPr fontId="5" type="noConversion"/>
  </si>
  <si>
    <t>docs/ko/04-engineering/ui/dashboard-and-insight.md; docs/ko/03-domain/service-desk/ticket/ticket-model.md</t>
    <phoneticPr fontId="5" type="noConversion"/>
  </si>
  <si>
    <t>인사이트 - PORTAL</t>
    <phoneticPr fontId="5" type="noConversion"/>
  </si>
  <si>
    <t>서비스 데스크 설정</t>
    <phoneticPr fontId="5" type="noConversion"/>
  </si>
  <si>
    <t>소유자 테넌트 승인 후보는 카테고리 테넌트 회사에 속합니다. 라우팅 실행 시 적격성을 다시 검증합니다.</t>
    <phoneticPr fontId="5" type="noConversion"/>
  </si>
  <si>
    <t>docs/ko/03-domain/service-desk/ticket/strategy/approval-system.md</t>
    <phoneticPr fontId="5" type="noConversion"/>
  </si>
  <si>
    <t>고객 INTERNAL 승인 후보는 카테고리 테넌트 회사로 제한됩니다.</t>
    <phoneticPr fontId="5" type="noConversion"/>
  </si>
  <si>
    <t>고객 PORTAL 승인은 고객 Tenant Admin이 관리합니다. Owner Admin은 참조된 승인자를 확인할 수 있지만 후보 디렉터리 접근 권한은 얻지 않습니다.</t>
    <phoneticPr fontId="5" type="noConversion"/>
  </si>
  <si>
    <t>소유자 테넌트 INTERNAL 작업 후보는 소유자/서비스 제공자 회사로 제한됩니다.</t>
    <phoneticPr fontId="5" type="noConversion"/>
  </si>
  <si>
    <t>docs/ko/03-domain/service-desk/ticket/strategy/assignment-policy.md</t>
    <phoneticPr fontId="5" type="noConversion"/>
  </si>
  <si>
    <t>고객 INTERNAL 작업 후보는 해당 고객 테넌트 회사로 제한됩니다.</t>
    <phoneticPr fontId="5" type="noConversion"/>
  </si>
  <si>
    <t>PORTAL 작업 할당의 기본 범위는 소유자/서비스 제공자 회사입니다.</t>
    <phoneticPr fontId="5" type="noConversion"/>
  </si>
  <si>
    <t>공동 처리는 저장된 할당 규칙이 includeTenantCompany를 활성화한 경우에만 허용됩니다. 클라이언트 입력으로 추론하지 않습니다.</t>
    <phoneticPr fontId="5" type="noConversion"/>
  </si>
  <si>
    <t>읽기 전용 확인은 현재 참조된 승인자를 해석할 수 있지만 고객 디렉터리 전체의 후보 검색 권한을 부여하지 않습니다.</t>
    <phoneticPr fontId="5" type="noConversion"/>
  </si>
  <si>
    <t>결정 ID</t>
    <phoneticPr fontId="5" type="noConversion"/>
  </si>
  <si>
    <t>영역</t>
    <phoneticPr fontId="5" type="noConversion"/>
  </si>
  <si>
    <t>질문</t>
    <phoneticPr fontId="5" type="noConversion"/>
  </si>
  <si>
    <t>권장 방향</t>
    <phoneticPr fontId="5" type="noConversion"/>
  </si>
  <si>
    <t>검증 대상</t>
    <phoneticPr fontId="5" type="noConversion"/>
  </si>
  <si>
    <t>티켓 검색</t>
    <phoneticPr fontId="5" type="noConversion"/>
  </si>
  <si>
    <t>요청자/담당자 필터 옵션은 어디에서 가져와야 하는가?</t>
    <phoneticPr fontId="5" type="noConversion"/>
  </si>
  <si>
    <t>행위자에게 이미 권한이 부여된 티켓 결과 집합에서 facet을 파생합니다. 필터 옵션이 더 넓은 티켓 가시성을 부여해서는 안 됩니다.</t>
    <phoneticPr fontId="5" type="noConversion"/>
  </si>
  <si>
    <t>REMOTE 저장소, LOCAL adapter, 검색 응답 DTO, UI facet 매핑에서 검증됨</t>
    <phoneticPr fontId="5" type="noConversion"/>
  </si>
  <si>
    <t>docs/ko/03-domain/service-desk/ticket/reference/ticket-operation-rules.md</t>
    <phoneticPr fontId="5" type="noConversion"/>
  </si>
  <si>
    <t>티켓 폼</t>
    <phoneticPr fontId="5" type="noConversion"/>
  </si>
  <si>
    <t>요청자가 구성하는 이메일 수신자로 어떤 직원을 선택할 수 있는가?</t>
    <phoneticPr fontId="5" type="noConversion"/>
  </si>
  <si>
    <t>기본값은 행위자 회사의 활성 직원입니다. PORTAL 워크플로에서 회사 간 또는 외부 주소를 허용하는지 확인해야 합니다.</t>
    <phoneticPr fontId="5" type="noConversion"/>
  </si>
  <si>
    <t>생성/수정 폼 query, 검증 schema, 서버 payload 검증</t>
    <phoneticPr fontId="5" type="noConversion"/>
  </si>
  <si>
    <t>PORTAL 이메일</t>
    <phoneticPr fontId="5" type="noConversion"/>
  </si>
  <si>
    <t>PORTAL 요청자가 소유자 회사와 테넌트 회사의 수신자를 모두 선택할 수 있는가?</t>
    <phoneticPr fontId="5" type="noConversion"/>
  </si>
  <si>
    <t>회사 간 접근을 추론하지 않습니다. 행위자 회사 후보를 넘어서려면 명시적 제품 규칙이 필요합니다.</t>
    <phoneticPr fontId="5" type="noConversion"/>
  </si>
  <si>
    <t>이메일 후보 endpoint와 테넌트/회사 필터</t>
    <phoneticPr fontId="5" type="noConversion"/>
  </si>
  <si>
    <t>docs/ko/03-domain/service-desk/ticket/ticket-model.md</t>
    <phoneticPr fontId="5" type="noConversion"/>
  </si>
  <si>
    <t>티켓 할당</t>
    <phoneticPr fontId="5" type="noConversion"/>
  </si>
  <si>
    <t>일반 ASSIGN 후보 범위는 승인 단계와 작업 단계에서 어떻게 달라야 하는가?</t>
    <phoneticPr fontId="5" type="noConversion"/>
  </si>
  <si>
    <t>할당 단계와 카테고리 컨텍스트로 구분합니다. 승인은 카테고리 테넌트 회사를 사용하고 작업은 명시적 PORTAL 공동 처리를 포함한 할당 정책을 사용합니다.</t>
    <phoneticPr fontId="5" type="noConversion"/>
  </si>
  <si>
    <t>액션 가용성, 후보 조회, 명령 검증, Admin override 경로</t>
    <phoneticPr fontId="5" type="noConversion"/>
  </si>
  <si>
    <t>docs/ko/03-domain/service-desk/ticket/strategy/approval-system.md; docs/ko/03-domain/service-desk/ticket/strategy/assignment-policy.md</t>
    <phoneticPr fontId="5" type="noConversion"/>
  </si>
  <si>
    <t>Admin에게 테넌트 간 또는 break-glass 할당을 허용하는가?</t>
    <phoneticPr fontId="5" type="noConversion"/>
  </si>
  <si>
    <t>명시적으로 감사 가능한 예외를 설계하기 전까지 차단합니다. Admin을 전역 직원 디렉터리 접근 권한으로 취급하지 않습니다.</t>
    <phoneticPr fontId="5" type="noConversion"/>
  </si>
  <si>
    <t>서버 권한 정책과 할당 명령</t>
    <phoneticPr fontId="5" type="noConversion"/>
  </si>
  <si>
    <t>인사이트</t>
    <phoneticPr fontId="5" type="noConversion"/>
  </si>
  <si>
    <t>과거 부서/조직 그룹은 현재 참조 데이터와 이벤트 시점 스냅샷 중 무엇을 사용해야 하는가?</t>
    <phoneticPr fontId="5" type="noConversion"/>
  </si>
  <si>
    <t>과거 보고 정확성이 필요하면 문서화된 스냅샷 전략을 사용하고, 그렇지 않으면 현재 참조 데이터의 제약을 명시합니다.</t>
    <phoneticPr fontId="5" type="noConversion"/>
  </si>
  <si>
    <t>인사이트 query/view 정의와 이력 metadata</t>
    <phoneticPr fontId="5" type="noConversion"/>
  </si>
  <si>
    <t>docs/ko/04-engineering/ui/dashboard-and-insight.md; docs/ko/03-domain/service-desk/ticket/ticket-history.md</t>
    <phoneticPr fontId="5" type="noConversion"/>
  </si>
  <si>
    <t>비활성 직원</t>
    <phoneticPr fontId="5" type="noConversion"/>
  </si>
  <si>
    <t>비활성 직원을 티켓 검색 필터에서 계속 제공해야 하는가?</t>
    <phoneticPr fontId="5" type="noConversion"/>
  </si>
  <si>
    <t>권한이 적용된 결과 집합이나 현재 저장된 선택에 나타나는 경우에만 포함합니다. 전체 비활성 디렉터리를 노출하지 않습니다.</t>
    <phoneticPr fontId="5" type="noConversion"/>
  </si>
  <si>
    <t>검증됨: facet은 권한이 적용되고 필터링된 티켓 결과에 실제 존재하는 identity에서만 생성되며, 존재하는 비활성 참조도 포함합니다.</t>
    <phoneticPr fontId="5" type="noConversion"/>
  </si>
  <si>
    <t>분류</t>
    <phoneticPr fontId="5" type="noConversion"/>
  </si>
  <si>
    <t>값</t>
    <phoneticPr fontId="5" type="noConversion"/>
  </si>
  <si>
    <t>의미</t>
    <phoneticPr fontId="5" type="noConversion"/>
  </si>
  <si>
    <t>작업 또는 설정에서 새 직원/참조를 선택합니다.</t>
    <phoneticPr fontId="5" type="noConversion"/>
  </si>
  <si>
    <t>이미 권한이 부여된 티켓 결과를 좁히며 가시성을 부여하지 않습니다.</t>
    <phoneticPr fontId="5" type="noConversion"/>
  </si>
  <si>
    <t>저장된 티켓/액션/이력 데이터에서 이미 참조된 identity를 해석합니다.</t>
    <phoneticPr fontId="5" type="noConversion"/>
  </si>
  <si>
    <t>권한이 적용된 티켓 데이터셋의 데이터를 라벨링하거나 그룹화합니다.</t>
    <phoneticPr fontId="5" type="noConversion"/>
  </si>
  <si>
    <t>서버가 해석한 현재 행위자의 신뢰할 수 있는 회사입니다.</t>
    <phoneticPr fontId="5" type="noConversion"/>
  </si>
  <si>
    <t>저장된 카테고리 테넌트에 연결된 회사입니다.</t>
    <phoneticPr fontId="5" type="noConversion"/>
  </si>
  <si>
    <t>포털 소유자/서비스 제공자 회사입니다.</t>
    <phoneticPr fontId="5" type="noConversion"/>
  </si>
  <si>
    <t>저장된 규칙이 공동 처리를 활성화한 경우에만 소유자와 카테고리 테넌트를 함께 사용합니다.</t>
    <phoneticPr fontId="5" type="noConversion"/>
  </si>
  <si>
    <t>현재 리소스에 이미 저장된 사용자명/ID만 해석합니다.</t>
    <phoneticPr fontId="5" type="noConversion"/>
  </si>
  <si>
    <t>행위자가 이미 볼 수 있는 티켓 집합에서 파생된 필터 값입니다.</t>
    <phoneticPr fontId="5" type="noConversion"/>
  </si>
  <si>
    <t>권한이 적용된 티켓 데이터셋에서 파생된 집계입니다.</t>
    <phoneticPr fontId="5" type="noConversion"/>
  </si>
  <si>
    <t>후보 범위는 승인/작업 단계와 저장된 카테고리/라우팅 컨텍스트에 따라 달라집니다.</t>
    <phoneticPr fontId="5" type="noConversion"/>
  </si>
  <si>
    <t>현재 활성 직원만 새로 선택하거나 라우팅할 수 있습니다.</t>
    <phoneticPr fontId="5" type="noConversion"/>
  </si>
  <si>
    <t>저장된 데이터에서 이미 참조된 비활성 직원은 계속 표시합니다.</t>
    <phoneticPr fontId="5" type="noConversion"/>
  </si>
  <si>
    <t>권한이 적용된 결과/facet에 존재하는 비활성 직원만 표시합니다.</t>
    <phoneticPr fontId="5" type="noConversion"/>
  </si>
  <si>
    <t>클라이언트 입력은 대상을 선택할 뿐 회사, 테넌트, 권한 범위를 증명하지 않습니다.</t>
    <phoneticPr fontId="5" type="noConversion"/>
  </si>
  <si>
    <t>현재 설계 문서가 뒷받침합니다.</t>
    <phoneticPr fontId="5" type="noConversion"/>
  </si>
  <si>
    <t>아직 구현/설계 확인이 필요한 권장 방향입니다.</t>
    <phoneticPr fontId="5" type="noConversion"/>
  </si>
  <si>
    <t>기존 행이 너무 광범위하거나 모호하여 분리 또는 검증이 필요합니다.</t>
    <phoneticPr fontId="5" type="noConversion"/>
  </si>
  <si>
    <t>의도적으로 현재 범위 밖에 둡니다.</t>
    <phoneticPr fontId="5" type="noConversion"/>
  </si>
  <si>
    <t>결정 상태</t>
    <phoneticPr fontId="5" type="noConversion"/>
  </si>
  <si>
    <t>제품 또는 권한 규칙이 아직 해결되지 않았습니다.</t>
    <phoneticPr fontId="5" type="noConversion"/>
  </si>
  <si>
    <t>구현 근거가 불완전하거나 의도한 정책과 충돌합니다.</t>
    <phoneticPr fontId="5" type="noConversion"/>
  </si>
  <si>
    <t>저장소 코드와 현재 설계 근거가 기록된 질문에 답합니다.</t>
    <phoneticPr fontId="5" type="noConversion"/>
  </si>
  <si>
    <t>항목</t>
    <phoneticPr fontId="5" type="noConversion"/>
  </si>
  <si>
    <t>직원 범위</t>
    <phoneticPr fontId="5" type="noConversion"/>
  </si>
  <si>
    <t>직원 활성 상태</t>
    <phoneticPr fontId="5" type="noConversion"/>
  </si>
  <si>
    <t>유형</t>
    <phoneticPr fontId="5" type="noConversion"/>
  </si>
  <si>
    <t>개발 메모</t>
    <phoneticPr fontId="5" type="noConversion"/>
  </si>
  <si>
    <t>소유자</t>
    <phoneticPr fontId="5" type="noConversion"/>
  </si>
  <si>
    <t>검색</t>
    <phoneticPr fontId="5" type="noConversion"/>
  </si>
  <si>
    <t>요청자</t>
    <phoneticPr fontId="5" type="noConversion"/>
  </si>
  <si>
    <t>전체</t>
    <phoneticPr fontId="5" type="noConversion"/>
  </si>
  <si>
    <t>선택</t>
    <phoneticPr fontId="5" type="noConversion"/>
  </si>
  <si>
    <t>모든 테넌트 티켓을 검색할 수 있어야 함</t>
    <phoneticPr fontId="5" type="noConversion"/>
  </si>
  <si>
    <t>담당자</t>
    <phoneticPr fontId="5" type="noConversion"/>
  </si>
  <si>
    <t>소유자 회사</t>
    <phoneticPr fontId="5" type="noConversion"/>
  </si>
  <si>
    <t>생성 다이얼로그</t>
    <phoneticPr fontId="5" type="noConversion"/>
  </si>
  <si>
    <t>이메일</t>
    <phoneticPr fontId="5" type="noConversion"/>
  </si>
  <si>
    <t>활성</t>
    <phoneticPr fontId="5" type="noConversion"/>
  </si>
  <si>
    <t>로그인한 사용자 회사 ID로 필터링 가능</t>
    <phoneticPr fontId="5" type="noConversion"/>
  </si>
  <si>
    <t>목록</t>
    <phoneticPr fontId="5" type="noConversion"/>
  </si>
  <si>
    <t>읽기 전용</t>
    <phoneticPr fontId="5" type="noConversion"/>
  </si>
  <si>
    <t>비활성 직원도 표시해야 함</t>
    <phoneticPr fontId="5" type="noConversion"/>
  </si>
  <si>
    <t>수정 다이얼로그</t>
    <phoneticPr fontId="5" type="noConversion"/>
  </si>
  <si>
    <t>요약</t>
    <phoneticPr fontId="5" type="noConversion"/>
  </si>
  <si>
    <t>최근 활동 액션</t>
    <phoneticPr fontId="5" type="noConversion"/>
  </si>
  <si>
    <t>보조 영역</t>
    <phoneticPr fontId="5" type="noConversion"/>
  </si>
  <si>
    <t>액션 도구</t>
    <phoneticPr fontId="5" type="noConversion"/>
  </si>
  <si>
    <t>할당 액션</t>
    <phoneticPr fontId="5" type="noConversion"/>
  </si>
  <si>
    <t>액션 목록</t>
    <phoneticPr fontId="5" type="noConversion"/>
  </si>
  <si>
    <t>소유자 + 티켓 테넌트</t>
    <phoneticPr fontId="5" type="noConversion"/>
  </si>
  <si>
    <t>차트</t>
    <phoneticPr fontId="5" type="noConversion"/>
  </si>
  <si>
    <t>부서</t>
    <phoneticPr fontId="5" type="noConversion"/>
  </si>
  <si>
    <t>테넌트</t>
    <phoneticPr fontId="5" type="noConversion"/>
  </si>
  <si>
    <t>테넌트 회사</t>
    <phoneticPr fontId="5" type="noConversion"/>
  </si>
  <si>
    <t>Admin 재정의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</si>
</sst>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b/>
      <sz val="11"/>
      <color rgb="FFFFFFFF"/>
      <name val="Carlito"/>
    </font>
    <font>
      <b/>
      <sz val="11"/>
      <color rgb="FF1F1F1F"/>
      <name val="Carlito"/>
    </font>
    <font>
      <sz val="11"/>
      <name val="Carlito"/>
    </font>
    <font>
      <sz val="8"/>
      <name val="돋움"/>
      <family val="3"/>
      <charset val="129"/>
    </font>
  </fonts>
  <fills count="5">
    <fill>
      <patternFill patternType="none"/>
    </fill>
    <fill>
      <patternFill patternType="gray125"/>
    </fill>
    <fill>
      <patternFill patternType="solid">
        <fgColor rgb="FF1F4E78"/>
      </patternFill>
    </fill>
    <fill>
      <patternFill patternType="solid">
        <fgColor rgb="FFEAF3F8"/>
      </patternFill>
    </fill>
    <fill>
      <patternFill patternType="solid">
        <fgColor rgb="FFD9EAF7"/>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4" fillId="0" borderId="0"/>
  </cellStyleXfs>
  <cellXfs count="16">
    <xf numFmtId="0" fontId="0" fillId="0" borderId="0" xfId="0"/>
    <xf numFmtId="0" fontId="0" fillId="0" borderId="0" xfId="1" applyFont="1" applyAlignment="1">
      <alignment vertical="top" wrapText="1"/>
    </xf>
    <xf numFmtId="0" fontId="2" fillId="2" borderId="0" xfId="1" applyFont="1" applyFill="1" applyAlignment="1">
      <alignment horizontal="center" vertical="top" wrapText="1"/>
    </xf>
    <xf numFmtId="0" fontId="2" fillId="2" borderId="1" xfId="1" applyFont="1" applyFill="1" applyBorder="1" applyAlignment="1">
      <alignment horizontal="center" vertical="top" wrapText="1"/>
    </xf>
    <xf numFmtId="0" fontId="2" fillId="2" borderId="2" xfId="1" applyFont="1" applyFill="1" applyBorder="1" applyAlignment="1">
      <alignment horizontal="center" vertical="top" wrapText="1"/>
    </xf>
    <xf numFmtId="0" fontId="2" fillId="2" borderId="3" xfId="1" applyFont="1" applyFill="1" applyBorder="1" applyAlignment="1">
      <alignment horizontal="center" vertical="top" wrapText="1"/>
    </xf>
    <xf numFmtId="0" fontId="0" fillId="0" borderId="4" xfId="1" applyFont="1" applyBorder="1" applyAlignment="1">
      <alignment vertical="top" wrapText="1"/>
    </xf>
    <xf numFmtId="0" fontId="0" fillId="0" borderId="5" xfId="1" applyFont="1" applyBorder="1" applyAlignment="1">
      <alignment vertical="top" wrapText="1"/>
    </xf>
    <xf numFmtId="0" fontId="0" fillId="0" borderId="6" xfId="1" applyFont="1" applyBorder="1" applyAlignment="1">
      <alignment vertical="top" wrapText="1"/>
    </xf>
    <xf numFmtId="0" fontId="0" fillId="0" borderId="7" xfId="1" applyFont="1" applyBorder="1" applyAlignment="1">
      <alignment vertical="top" wrapText="1"/>
    </xf>
    <xf numFmtId="0" fontId="0" fillId="0" borderId="8" xfId="1" applyFont="1" applyBorder="1" applyAlignment="1">
      <alignment vertical="top" wrapText="1"/>
    </xf>
    <xf numFmtId="0" fontId="0" fillId="0" borderId="0" xfId="0" applyAlignment="1">
      <alignment vertical="top" wrapText="1"/>
    </xf>
    <xf numFmtId="0" fontId="0" fillId="0" borderId="0" xfId="1" applyFont="1" applyAlignment="1">
      <alignment vertical="top" wrapText="1"/>
    </xf>
    <xf numFmtId="0" fontId="1" fillId="2" borderId="0" xfId="1" applyFont="1" applyFill="1" applyAlignment="1">
      <alignment horizontal="center" vertical="top" wrapText="1"/>
    </xf>
    <xf numFmtId="0" fontId="0" fillId="3" borderId="0" xfId="1" applyFont="1" applyFill="1" applyAlignment="1">
      <alignment vertical="top" wrapText="1"/>
    </xf>
    <xf numFmtId="0" fontId="3" fillId="4" borderId="0" xfId="1" applyFont="1" applyFill="1" applyAlignment="1">
      <alignment vertical="top" wrapText="1"/>
    </xf>
  </cellXfs>
  <cellStyles count="2">
    <cellStyle name="Normal" xfId="1" xr:uid="{00000000-0005-0000-0000-000000000000}"/>
    <cellStyle name="표준" xfId="0" builtinId="0"/>
  </cellStyles>
  <dxfs count="51">
    <dxf>
      <fill>
        <patternFill patternType="solid">
          <bgColor rgb="FFE7E6E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E7E6E6"/>
        </patternFill>
      </fill>
    </dxf>
    <dxf>
      <fill>
        <patternFill patternType="solid">
          <bgColor rgb="FFFCE4D6"/>
        </patternFill>
      </fill>
    </dxf>
    <dxf>
      <fill>
        <patternFill patternType="solid">
          <bgColor rgb="FFFFF2CC"/>
        </patternFill>
      </fill>
    </dxf>
    <dxf>
      <fill>
        <patternFill patternType="solid">
          <bgColor rgb="FFE2F0D9"/>
        </patternFill>
      </fill>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ReferencePolicyTable" displayName="EmployeeReferencePolicyTable" ref="A1:M53" headerRowDxfId="50" dataDxfId="49" totalsRowDxfId="48">
  <autoFilter ref="A1:M53" xr:uid="{00000000-000C-0000-FFFF-FFFF00000000}"/>
  <tableColumns count="13">
    <tableColumn id="1" xr3:uid="{00000000-0010-0000-0000-000001000000}" name="사용자 범위" dataDxfId="47"/>
    <tableColumn id="2" xr3:uid="{00000000-0010-0000-0000-000002000000}" name="화면" dataDxfId="46"/>
    <tableColumn id="3" xr3:uid="{00000000-0010-0000-0000-000003000000}" name="테넌트/카테고리 범위" dataDxfId="45"/>
    <tableColumn id="4" xr3:uid="{00000000-0010-0000-0000-000004000000}" name="구성 요소" dataDxfId="44"/>
    <tableColumn id="5" xr3:uid="{00000000-0010-0000-0000-000005000000}" name="참조 목적" dataDxfId="43"/>
    <tableColumn id="6" xr3:uid="{00000000-0010-0000-0000-000006000000}" name="참조 대상" dataDxfId="42"/>
    <tableColumn id="7" xr3:uid="{00000000-0010-0000-0000-000007000000}" name="출처 경계" dataDxfId="41"/>
    <tableColumn id="8" xr3:uid="{00000000-0010-0000-0000-000008000000}" name="활성 정책" dataDxfId="40"/>
    <tableColumn id="9" xr3:uid="{00000000-0010-0000-0000-000009000000}" name="접근 모드" dataDxfId="39"/>
    <tableColumn id="10" xr3:uid="{00000000-0010-0000-0000-00000A000000}" name="권한 기준" dataDxfId="38"/>
    <tableColumn id="11" xr3:uid="{00000000-0010-0000-0000-00000B000000}" name="상태" dataDxfId="37"/>
    <tableColumn id="12" xr3:uid="{00000000-0010-0000-0000-00000C000000}" name="출처 문서" dataDxfId="36"/>
    <tableColumn id="13" xr3:uid="{00000000-0010-0000-0000-00000D000000}" name="비고"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mployeeReferenceOpenDecisionsTable" displayName="EmployeeReferenceOpenDecisionsTable" ref="A1:G8" headerRowDxfId="34" dataDxfId="33" totalsRowDxfId="32">
  <autoFilter ref="A1:G8" xr:uid="{00000000-000C-0000-FFFF-FFFF01000000}"/>
  <tableColumns count="7">
    <tableColumn id="1" xr3:uid="{00000000-0010-0000-0100-000001000000}" name="결정 ID" dataDxfId="31"/>
    <tableColumn id="2" xr3:uid="{00000000-0010-0000-0100-000002000000}" name="영역" dataDxfId="30"/>
    <tableColumn id="3" xr3:uid="{00000000-0010-0000-0100-000003000000}" name="질문" dataDxfId="29"/>
    <tableColumn id="4" xr3:uid="{00000000-0010-0000-0100-000004000000}" name="권장 방향" dataDxfId="28"/>
    <tableColumn id="5" xr3:uid="{00000000-0010-0000-0100-000005000000}" name="상태" dataDxfId="27"/>
    <tableColumn id="6" xr3:uid="{00000000-0010-0000-0100-000006000000}" name="출처 문서" dataDxfId="26"/>
    <tableColumn id="7" xr3:uid="{00000000-0010-0000-0100-000007000000}" name="검증 대상"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mployeeReferenceLegendTable" displayName="EmployeeReferenceLegendTable" ref="A1:C24" headerRowDxfId="24" dataDxfId="23" totalsRowDxfId="22">
  <autoFilter ref="A1:C24" xr:uid="{00000000-000C-0000-FFFF-FFFF02000000}"/>
  <tableColumns count="3">
    <tableColumn id="1" xr3:uid="{00000000-0010-0000-0200-000001000000}" name="분류" dataDxfId="21"/>
    <tableColumn id="2" xr3:uid="{00000000-0010-0000-0200-000002000000}" name="값" dataDxfId="20"/>
    <tableColumn id="3" xr3:uid="{00000000-0010-0000-0200-000003000000}" name="의미"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gacyEmployeeListTable" displayName="LegacyEmployeeListTable" ref="A1:H45" headerRowDxfId="18" dataDxfId="17" totalsRowDxfId="16">
  <autoFilter ref="A1:H45" xr:uid="{00000000-000C-0000-FFFF-FFFF03000000}"/>
  <tableColumns count="8">
    <tableColumn id="1" xr3:uid="{00000000-0010-0000-0300-000001000000}" name="사용자 범위" dataDxfId="15"/>
    <tableColumn id="2" xr3:uid="{00000000-0010-0000-0300-000002000000}" name="화면" dataDxfId="14"/>
    <tableColumn id="3" xr3:uid="{00000000-0010-0000-0300-000003000000}" name="구성 요소" dataDxfId="13"/>
    <tableColumn id="4" xr3:uid="{00000000-0010-0000-0300-000004000000}" name="항목" dataDxfId="12"/>
    <tableColumn id="5" xr3:uid="{00000000-0010-0000-0300-000005000000}" name="직원 범위" dataDxfId="11"/>
    <tableColumn id="6" xr3:uid="{00000000-0010-0000-0300-000006000000}" name="직원 활성 상태" dataDxfId="10"/>
    <tableColumn id="7" xr3:uid="{00000000-0010-0000-0300-000007000000}" name="유형" dataDxfId="9"/>
    <tableColumn id="8" xr3:uid="{00000000-0010-0000-0300-000008000000}" name="개발 메모" dataDxfId="8"/>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pane ySplit="4" topLeftCell="A5" activePane="bottomLeft" state="frozenSplit"/>
      <selection pane="bottomLeft" activeCell="A13" sqref="A13:H17"/>
    </sheetView>
  </sheetViews>
  <sheetFormatPr defaultRowHeight="14.25"/>
  <cols>
    <col min="1" max="1" width="18" customWidth="1"/>
    <col min="2" max="2" width="12" customWidth="1"/>
    <col min="3" max="3" width="3" customWidth="1"/>
    <col min="4" max="8" width="18" customWidth="1"/>
  </cols>
  <sheetData>
    <row r="1" spans="1:8" ht="21.95" customHeight="1">
      <c r="A1" s="13" t="s">
        <v>65</v>
      </c>
      <c r="B1" s="13"/>
      <c r="C1" s="13"/>
      <c r="D1" s="13"/>
      <c r="E1" s="13"/>
      <c r="F1" s="13"/>
      <c r="G1" s="13"/>
      <c r="H1" s="13"/>
    </row>
    <row r="2" spans="1:8" ht="21.95" customHeight="1">
      <c r="A2" s="14" t="s">
        <v>66</v>
      </c>
      <c r="B2" s="14"/>
      <c r="C2" s="14"/>
      <c r="D2" s="14"/>
      <c r="E2" s="14"/>
      <c r="F2" s="14"/>
      <c r="G2" s="14"/>
      <c r="H2" s="14"/>
    </row>
    <row r="3" spans="1:8" ht="21.95" customHeight="1">
      <c r="A3" s="1"/>
      <c r="B3" s="1"/>
      <c r="C3" s="1"/>
      <c r="D3" s="1"/>
      <c r="E3" s="1"/>
      <c r="F3" s="1"/>
      <c r="G3" s="1"/>
      <c r="H3" s="1"/>
    </row>
    <row r="4" spans="1:8" ht="21.95" customHeight="1">
      <c r="A4" s="2" t="s">
        <v>67</v>
      </c>
      <c r="B4" s="2" t="s">
        <v>68</v>
      </c>
      <c r="C4" s="1"/>
      <c r="D4" s="15" t="s">
        <v>69</v>
      </c>
      <c r="E4" s="15"/>
      <c r="F4" s="15"/>
      <c r="G4" s="15"/>
      <c r="H4" s="15"/>
    </row>
    <row r="5" spans="1:8" ht="21.95" customHeight="1">
      <c r="A5" s="1" t="s">
        <v>0</v>
      </c>
      <c r="B5" s="1">
        <f>COUNTIF('Policy Matrix'!$K$2:$K$53,"CURRENT")</f>
        <v>44</v>
      </c>
      <c r="C5" s="1"/>
      <c r="D5" s="12" t="s">
        <v>70</v>
      </c>
      <c r="E5" s="12"/>
      <c r="F5" s="12"/>
      <c r="G5" s="12"/>
      <c r="H5" s="12"/>
    </row>
    <row r="6" spans="1:8" ht="21.95" customHeight="1">
      <c r="A6" s="1" t="s">
        <v>1</v>
      </c>
      <c r="B6" s="1">
        <f>COUNTIF('Policy Matrix'!$K$2:$K$53,"PROPOSED")</f>
        <v>4</v>
      </c>
      <c r="C6" s="1"/>
      <c r="D6" s="12"/>
      <c r="E6" s="12"/>
      <c r="F6" s="12"/>
      <c r="G6" s="12"/>
      <c r="H6" s="12"/>
    </row>
    <row r="7" spans="1:8" ht="21.95" customHeight="1">
      <c r="A7" s="1" t="s">
        <v>2</v>
      </c>
      <c r="B7" s="1">
        <f>COUNTIF('Policy Matrix'!$K$2:$K$53,"REVIEW_REQUIRED")</f>
        <v>4</v>
      </c>
      <c r="C7" s="1"/>
      <c r="D7" s="12"/>
      <c r="E7" s="12"/>
      <c r="F7" s="12"/>
      <c r="G7" s="12"/>
      <c r="H7" s="12"/>
    </row>
    <row r="8" spans="1:8" ht="21.95" customHeight="1">
      <c r="A8" s="1" t="s">
        <v>3</v>
      </c>
      <c r="B8" s="1">
        <f>COUNTIF('Policy Matrix'!$K$2:$K$53,"DEFERRED")</f>
        <v>0</v>
      </c>
      <c r="C8" s="1"/>
      <c r="D8" s="12"/>
      <c r="E8" s="12"/>
      <c r="F8" s="12"/>
      <c r="G8" s="12"/>
      <c r="H8" s="12"/>
    </row>
    <row r="9" spans="1:8" ht="21.95" customHeight="1">
      <c r="A9" s="1"/>
      <c r="B9" s="1"/>
      <c r="C9" s="1"/>
      <c r="D9" s="12"/>
      <c r="E9" s="12"/>
      <c r="F9" s="12"/>
      <c r="G9" s="12"/>
      <c r="H9" s="12"/>
    </row>
    <row r="10" spans="1:8" ht="21.95" customHeight="1">
      <c r="A10" s="1"/>
      <c r="B10" s="1"/>
      <c r="C10" s="1"/>
      <c r="D10" s="12"/>
      <c r="E10" s="12"/>
      <c r="F10" s="12"/>
      <c r="G10" s="12"/>
      <c r="H10" s="12"/>
    </row>
    <row r="11" spans="1:8" ht="21.95" customHeight="1">
      <c r="A11" s="1"/>
      <c r="B11" s="1"/>
      <c r="C11" s="1"/>
      <c r="D11" s="1"/>
      <c r="E11" s="1"/>
      <c r="F11" s="1"/>
      <c r="G11" s="1"/>
      <c r="H11" s="1"/>
    </row>
    <row r="12" spans="1:8" ht="21.95" customHeight="1">
      <c r="A12" s="15" t="s">
        <v>71</v>
      </c>
      <c r="B12" s="15"/>
      <c r="C12" s="15"/>
      <c r="D12" s="15"/>
      <c r="E12" s="15"/>
      <c r="F12" s="15"/>
      <c r="G12" s="15"/>
      <c r="H12" s="15"/>
    </row>
    <row r="13" spans="1:8" ht="21.95" customHeight="1">
      <c r="A13" s="12" t="s">
        <v>72</v>
      </c>
      <c r="B13" s="12"/>
      <c r="C13" s="12"/>
      <c r="D13" s="12"/>
      <c r="E13" s="12"/>
      <c r="F13" s="12"/>
      <c r="G13" s="12"/>
      <c r="H13" s="12"/>
    </row>
    <row r="14" spans="1:8" ht="21.95" customHeight="1">
      <c r="A14" s="12"/>
      <c r="B14" s="12"/>
      <c r="C14" s="12"/>
      <c r="D14" s="12"/>
      <c r="E14" s="12"/>
      <c r="F14" s="12"/>
      <c r="G14" s="12"/>
      <c r="H14" s="12"/>
    </row>
    <row r="15" spans="1:8" ht="21.95" customHeight="1">
      <c r="A15" s="12"/>
      <c r="B15" s="12"/>
      <c r="C15" s="12"/>
      <c r="D15" s="12"/>
      <c r="E15" s="12"/>
      <c r="F15" s="12"/>
      <c r="G15" s="12"/>
      <c r="H15" s="12"/>
    </row>
    <row r="16" spans="1:8" ht="21.95" customHeight="1">
      <c r="A16" s="12"/>
      <c r="B16" s="12"/>
      <c r="C16" s="12"/>
      <c r="D16" s="12"/>
      <c r="E16" s="12"/>
      <c r="F16" s="12"/>
      <c r="G16" s="12"/>
      <c r="H16" s="12"/>
    </row>
    <row r="17" spans="1:8" ht="21.95" customHeight="1">
      <c r="A17" s="12"/>
      <c r="B17" s="12"/>
      <c r="C17" s="12"/>
      <c r="D17" s="12"/>
      <c r="E17" s="12"/>
      <c r="F17" s="12"/>
      <c r="G17" s="12"/>
      <c r="H17" s="12"/>
    </row>
    <row r="18" spans="1:8" ht="21.95" customHeight="1">
      <c r="A18" s="1"/>
      <c r="B18" s="1"/>
      <c r="C18" s="1"/>
      <c r="D18" s="1"/>
      <c r="E18" s="1"/>
      <c r="F18" s="1"/>
      <c r="G18" s="1"/>
      <c r="H18" s="1"/>
    </row>
    <row r="19" spans="1:8" ht="21.95" customHeight="1">
      <c r="A19" s="1"/>
      <c r="B19" s="1"/>
      <c r="C19" s="1"/>
      <c r="D19" s="1"/>
      <c r="E19" s="1"/>
      <c r="F19" s="1"/>
      <c r="G19" s="1"/>
      <c r="H19" s="1"/>
    </row>
    <row r="20" spans="1:8" ht="21.95" customHeight="1">
      <c r="A20" s="1"/>
      <c r="B20" s="1"/>
      <c r="C20" s="1"/>
      <c r="D20" s="1"/>
      <c r="E20" s="1"/>
      <c r="F20" s="1"/>
      <c r="G20" s="1"/>
      <c r="H20" s="1"/>
    </row>
  </sheetData>
  <mergeCells count="6">
    <mergeCell ref="A13:H17"/>
    <mergeCell ref="A1:H1"/>
    <mergeCell ref="A2:H2"/>
    <mergeCell ref="D4:H4"/>
    <mergeCell ref="D5:H10"/>
    <mergeCell ref="A12:H12"/>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3"/>
  <sheetViews>
    <sheetView workbookViewId="0">
      <pane ySplit="1" topLeftCell="A2" activePane="bottomLeft" state="frozenSplit"/>
      <selection pane="bottomLeft" activeCell="C40" sqref="C40"/>
    </sheetView>
  </sheetViews>
  <sheetFormatPr defaultRowHeight="14.25"/>
  <cols>
    <col min="1" max="1" width="23.625" bestFit="1" customWidth="1"/>
    <col min="2" max="2" width="20.5" bestFit="1" customWidth="1"/>
    <col min="3" max="3" width="20.875" bestFit="1" customWidth="1"/>
    <col min="4" max="4" width="21.875" bestFit="1" customWidth="1"/>
    <col min="5" max="5" width="23.875" bestFit="1" customWidth="1"/>
    <col min="6" max="6" width="28.625" customWidth="1"/>
    <col min="7" max="7" width="38.625" customWidth="1"/>
    <col min="8" max="8" width="32.625" customWidth="1"/>
    <col min="9" max="9" width="18.625" customWidth="1"/>
    <col min="10" max="10" width="21.375" bestFit="1" customWidth="1"/>
    <col min="11" max="11" width="12.625" bestFit="1" customWidth="1"/>
    <col min="12" max="12" width="48.375" customWidth="1"/>
    <col min="13" max="13" width="70.625" customWidth="1"/>
  </cols>
  <sheetData>
    <row r="1" spans="1:13" ht="15">
      <c r="A1" s="3" t="s">
        <v>73</v>
      </c>
      <c r="B1" s="4" t="s">
        <v>74</v>
      </c>
      <c r="C1" s="4" t="s">
        <v>75</v>
      </c>
      <c r="D1" s="4" t="s">
        <v>76</v>
      </c>
      <c r="E1" s="4" t="s">
        <v>77</v>
      </c>
      <c r="F1" s="4" t="s">
        <v>78</v>
      </c>
      <c r="G1" s="4" t="s">
        <v>79</v>
      </c>
      <c r="H1" s="4" t="s">
        <v>80</v>
      </c>
      <c r="I1" s="4" t="s">
        <v>81</v>
      </c>
      <c r="J1" s="4" t="s">
        <v>82</v>
      </c>
      <c r="K1" s="4" t="s">
        <v>67</v>
      </c>
      <c r="L1" s="4" t="s">
        <v>83</v>
      </c>
      <c r="M1" s="5" t="s">
        <v>84</v>
      </c>
    </row>
    <row r="2" spans="1:13" ht="42" customHeight="1">
      <c r="A2" s="6" t="s">
        <v>4</v>
      </c>
      <c r="B2" s="1" t="s">
        <v>85</v>
      </c>
      <c r="C2" s="1" t="s">
        <v>5</v>
      </c>
      <c r="D2" s="1" t="s">
        <v>6</v>
      </c>
      <c r="E2" s="1" t="s">
        <v>7</v>
      </c>
      <c r="F2" s="1" t="s">
        <v>8</v>
      </c>
      <c r="G2" s="1" t="s">
        <v>9</v>
      </c>
      <c r="H2" s="1" t="s">
        <v>10</v>
      </c>
      <c r="I2" s="1" t="s">
        <v>7</v>
      </c>
      <c r="J2" s="1" t="s">
        <v>11</v>
      </c>
      <c r="K2" s="1" t="s">
        <v>62</v>
      </c>
      <c r="L2" s="1" t="s">
        <v>87</v>
      </c>
      <c r="M2" s="7" t="s">
        <v>86</v>
      </c>
    </row>
    <row r="3" spans="1:13" ht="42" customHeight="1">
      <c r="A3" s="6" t="s">
        <v>4</v>
      </c>
      <c r="B3" s="1" t="s">
        <v>85</v>
      </c>
      <c r="C3" s="1" t="s">
        <v>5</v>
      </c>
      <c r="D3" s="1" t="s">
        <v>6</v>
      </c>
      <c r="E3" s="1" t="s">
        <v>7</v>
      </c>
      <c r="F3" s="1" t="s">
        <v>12</v>
      </c>
      <c r="G3" s="1" t="s">
        <v>9</v>
      </c>
      <c r="H3" s="1" t="s">
        <v>10</v>
      </c>
      <c r="I3" s="1" t="s">
        <v>7</v>
      </c>
      <c r="J3" s="1" t="s">
        <v>11</v>
      </c>
      <c r="K3" s="1" t="s">
        <v>62</v>
      </c>
      <c r="L3" s="1" t="s">
        <v>87</v>
      </c>
      <c r="M3" s="7" t="s">
        <v>86</v>
      </c>
    </row>
    <row r="4" spans="1:13" ht="42" customHeight="1">
      <c r="A4" s="6" t="s">
        <v>4</v>
      </c>
      <c r="B4" s="1" t="s">
        <v>85</v>
      </c>
      <c r="C4" s="1" t="s">
        <v>5</v>
      </c>
      <c r="D4" s="1" t="s">
        <v>13</v>
      </c>
      <c r="E4" s="1" t="s">
        <v>14</v>
      </c>
      <c r="F4" s="1" t="s">
        <v>15</v>
      </c>
      <c r="G4" s="1" t="s">
        <v>16</v>
      </c>
      <c r="H4" s="1" t="s">
        <v>17</v>
      </c>
      <c r="I4" s="1" t="s">
        <v>14</v>
      </c>
      <c r="J4" s="1" t="s">
        <v>11</v>
      </c>
      <c r="K4" s="1" t="s">
        <v>1</v>
      </c>
      <c r="L4" s="1" t="s">
        <v>89</v>
      </c>
      <c r="M4" s="7" t="s">
        <v>88</v>
      </c>
    </row>
    <row r="5" spans="1:13" ht="42" customHeight="1">
      <c r="A5" s="6" t="s">
        <v>4</v>
      </c>
      <c r="B5" s="1" t="s">
        <v>90</v>
      </c>
      <c r="C5" s="1" t="s">
        <v>18</v>
      </c>
      <c r="D5" s="1" t="s">
        <v>19</v>
      </c>
      <c r="E5" s="1" t="s">
        <v>20</v>
      </c>
      <c r="F5" s="1" t="s">
        <v>8</v>
      </c>
      <c r="G5" s="1" t="s">
        <v>21</v>
      </c>
      <c r="H5" s="1" t="s">
        <v>22</v>
      </c>
      <c r="I5" s="1" t="s">
        <v>23</v>
      </c>
      <c r="J5" s="1" t="s">
        <v>11</v>
      </c>
      <c r="K5" s="1" t="s">
        <v>0</v>
      </c>
      <c r="L5" s="1" t="s">
        <v>92</v>
      </c>
      <c r="M5" s="7" t="s">
        <v>91</v>
      </c>
    </row>
    <row r="6" spans="1:13" ht="42" customHeight="1">
      <c r="A6" s="6" t="s">
        <v>4</v>
      </c>
      <c r="B6" s="1" t="s">
        <v>90</v>
      </c>
      <c r="C6" s="1" t="s">
        <v>18</v>
      </c>
      <c r="D6" s="1" t="s">
        <v>19</v>
      </c>
      <c r="E6" s="1" t="s">
        <v>20</v>
      </c>
      <c r="F6" s="1" t="s">
        <v>12</v>
      </c>
      <c r="G6" s="1" t="s">
        <v>21</v>
      </c>
      <c r="H6" s="1" t="s">
        <v>22</v>
      </c>
      <c r="I6" s="1" t="s">
        <v>23</v>
      </c>
      <c r="J6" s="1" t="s">
        <v>11</v>
      </c>
      <c r="K6" s="1" t="s">
        <v>0</v>
      </c>
      <c r="L6" s="1" t="s">
        <v>92</v>
      </c>
      <c r="M6" s="7" t="s">
        <v>91</v>
      </c>
    </row>
    <row r="7" spans="1:13" ht="42" customHeight="1">
      <c r="A7" s="6" t="s">
        <v>4</v>
      </c>
      <c r="B7" s="1" t="s">
        <v>93</v>
      </c>
      <c r="C7" s="1" t="s">
        <v>24</v>
      </c>
      <c r="D7" s="1" t="s">
        <v>19</v>
      </c>
      <c r="E7" s="1" t="s">
        <v>20</v>
      </c>
      <c r="F7" s="1" t="s">
        <v>8</v>
      </c>
      <c r="G7" s="1" t="s">
        <v>21</v>
      </c>
      <c r="H7" s="1" t="s">
        <v>22</v>
      </c>
      <c r="I7" s="1" t="s">
        <v>23</v>
      </c>
      <c r="J7" s="1" t="s">
        <v>11</v>
      </c>
      <c r="K7" s="1" t="s">
        <v>0</v>
      </c>
      <c r="L7" s="1" t="s">
        <v>92</v>
      </c>
      <c r="M7" s="7" t="s">
        <v>91</v>
      </c>
    </row>
    <row r="8" spans="1:13" ht="42" customHeight="1">
      <c r="A8" s="6" t="s">
        <v>4</v>
      </c>
      <c r="B8" s="1" t="s">
        <v>93</v>
      </c>
      <c r="C8" s="1" t="s">
        <v>24</v>
      </c>
      <c r="D8" s="1" t="s">
        <v>19</v>
      </c>
      <c r="E8" s="1" t="s">
        <v>20</v>
      </c>
      <c r="F8" s="1" t="s">
        <v>12</v>
      </c>
      <c r="G8" s="1" t="s">
        <v>21</v>
      </c>
      <c r="H8" s="1" t="s">
        <v>22</v>
      </c>
      <c r="I8" s="1" t="s">
        <v>23</v>
      </c>
      <c r="J8" s="1" t="s">
        <v>11</v>
      </c>
      <c r="K8" s="1" t="s">
        <v>0</v>
      </c>
      <c r="L8" s="1" t="s">
        <v>92</v>
      </c>
      <c r="M8" s="7" t="s">
        <v>91</v>
      </c>
    </row>
    <row r="9" spans="1:13" ht="42" customHeight="1">
      <c r="A9" s="6" t="s">
        <v>4</v>
      </c>
      <c r="B9" s="1" t="s">
        <v>94</v>
      </c>
      <c r="C9" s="1" t="s">
        <v>5</v>
      </c>
      <c r="D9" s="1" t="s">
        <v>25</v>
      </c>
      <c r="E9" s="1" t="s">
        <v>14</v>
      </c>
      <c r="F9" s="1" t="s">
        <v>15</v>
      </c>
      <c r="G9" s="1" t="s">
        <v>16</v>
      </c>
      <c r="H9" s="1" t="s">
        <v>17</v>
      </c>
      <c r="I9" s="1" t="s">
        <v>14</v>
      </c>
      <c r="J9" s="1" t="s">
        <v>11</v>
      </c>
      <c r="K9" s="1" t="s">
        <v>1</v>
      </c>
      <c r="L9" s="1" t="s">
        <v>89</v>
      </c>
      <c r="M9" s="7" t="s">
        <v>88</v>
      </c>
    </row>
    <row r="10" spans="1:13" ht="42" customHeight="1">
      <c r="A10" s="6" t="s">
        <v>4</v>
      </c>
      <c r="B10" s="1" t="s">
        <v>95</v>
      </c>
      <c r="C10" s="1" t="s">
        <v>18</v>
      </c>
      <c r="D10" s="1" t="s">
        <v>26</v>
      </c>
      <c r="E10" s="1" t="s">
        <v>20</v>
      </c>
      <c r="F10" s="1" t="s">
        <v>27</v>
      </c>
      <c r="G10" s="1" t="s">
        <v>21</v>
      </c>
      <c r="H10" s="1" t="s">
        <v>22</v>
      </c>
      <c r="I10" s="1" t="s">
        <v>23</v>
      </c>
      <c r="J10" s="1" t="s">
        <v>11</v>
      </c>
      <c r="K10" s="1" t="s">
        <v>0</v>
      </c>
      <c r="L10" s="1" t="s">
        <v>92</v>
      </c>
      <c r="M10" s="7" t="s">
        <v>91</v>
      </c>
    </row>
    <row r="11" spans="1:13" ht="42" customHeight="1">
      <c r="A11" s="6" t="s">
        <v>4</v>
      </c>
      <c r="B11" s="1" t="s">
        <v>95</v>
      </c>
      <c r="C11" s="1" t="s">
        <v>18</v>
      </c>
      <c r="D11" s="1" t="s">
        <v>28</v>
      </c>
      <c r="E11" s="1" t="s">
        <v>20</v>
      </c>
      <c r="F11" s="1" t="s">
        <v>8</v>
      </c>
      <c r="G11" s="1" t="s">
        <v>21</v>
      </c>
      <c r="H11" s="1" t="s">
        <v>22</v>
      </c>
      <c r="I11" s="1" t="s">
        <v>23</v>
      </c>
      <c r="J11" s="1" t="s">
        <v>11</v>
      </c>
      <c r="K11" s="1" t="s">
        <v>0</v>
      </c>
      <c r="L11" s="1" t="s">
        <v>92</v>
      </c>
      <c r="M11" s="7" t="s">
        <v>91</v>
      </c>
    </row>
    <row r="12" spans="1:13" ht="42" customHeight="1">
      <c r="A12" s="6" t="s">
        <v>4</v>
      </c>
      <c r="B12" s="1" t="s">
        <v>95</v>
      </c>
      <c r="C12" s="1" t="s">
        <v>18</v>
      </c>
      <c r="D12" s="1" t="s">
        <v>28</v>
      </c>
      <c r="E12" s="1" t="s">
        <v>20</v>
      </c>
      <c r="F12" s="1" t="s">
        <v>12</v>
      </c>
      <c r="G12" s="1" t="s">
        <v>21</v>
      </c>
      <c r="H12" s="1" t="s">
        <v>22</v>
      </c>
      <c r="I12" s="1" t="s">
        <v>23</v>
      </c>
      <c r="J12" s="1" t="s">
        <v>11</v>
      </c>
      <c r="K12" s="1" t="s">
        <v>0</v>
      </c>
      <c r="L12" s="1" t="s">
        <v>92</v>
      </c>
      <c r="M12" s="7" t="s">
        <v>91</v>
      </c>
    </row>
    <row r="13" spans="1:13" ht="42" customHeight="1">
      <c r="A13" s="6" t="s">
        <v>4</v>
      </c>
      <c r="B13" s="1" t="s">
        <v>95</v>
      </c>
      <c r="C13" s="1" t="s">
        <v>18</v>
      </c>
      <c r="D13" s="1" t="s">
        <v>29</v>
      </c>
      <c r="E13" s="1" t="s">
        <v>14</v>
      </c>
      <c r="F13" s="1" t="s">
        <v>30</v>
      </c>
      <c r="G13" s="1" t="s">
        <v>31</v>
      </c>
      <c r="H13" s="1" t="s">
        <v>17</v>
      </c>
      <c r="I13" s="1" t="s">
        <v>14</v>
      </c>
      <c r="J13" s="1" t="s">
        <v>11</v>
      </c>
      <c r="K13" s="1" t="s">
        <v>2</v>
      </c>
      <c r="L13" s="1" t="s">
        <v>97</v>
      </c>
      <c r="M13" s="7" t="s">
        <v>96</v>
      </c>
    </row>
    <row r="14" spans="1:13" ht="42" customHeight="1">
      <c r="A14" s="6" t="s">
        <v>4</v>
      </c>
      <c r="B14" s="1" t="s">
        <v>95</v>
      </c>
      <c r="C14" s="1" t="s">
        <v>18</v>
      </c>
      <c r="D14" s="1" t="s">
        <v>32</v>
      </c>
      <c r="E14" s="1" t="s">
        <v>20</v>
      </c>
      <c r="F14" s="1" t="s">
        <v>27</v>
      </c>
      <c r="G14" s="1" t="s">
        <v>21</v>
      </c>
      <c r="H14" s="1" t="s">
        <v>22</v>
      </c>
      <c r="I14" s="1" t="s">
        <v>23</v>
      </c>
      <c r="J14" s="1" t="s">
        <v>11</v>
      </c>
      <c r="K14" s="1" t="s">
        <v>0</v>
      </c>
      <c r="L14" s="1" t="s">
        <v>92</v>
      </c>
      <c r="M14" s="7" t="s">
        <v>91</v>
      </c>
    </row>
    <row r="15" spans="1:13" ht="42" customHeight="1">
      <c r="A15" s="6" t="s">
        <v>4</v>
      </c>
      <c r="B15" s="1" t="s">
        <v>98</v>
      </c>
      <c r="C15" s="1" t="s">
        <v>24</v>
      </c>
      <c r="D15" s="1" t="s">
        <v>26</v>
      </c>
      <c r="E15" s="1" t="s">
        <v>20</v>
      </c>
      <c r="F15" s="1" t="s">
        <v>27</v>
      </c>
      <c r="G15" s="1" t="s">
        <v>21</v>
      </c>
      <c r="H15" s="1" t="s">
        <v>22</v>
      </c>
      <c r="I15" s="1" t="s">
        <v>23</v>
      </c>
      <c r="J15" s="1" t="s">
        <v>11</v>
      </c>
      <c r="K15" s="1" t="s">
        <v>0</v>
      </c>
      <c r="L15" s="1" t="s">
        <v>92</v>
      </c>
      <c r="M15" s="7" t="s">
        <v>91</v>
      </c>
    </row>
    <row r="16" spans="1:13" ht="42" customHeight="1">
      <c r="A16" s="6" t="s">
        <v>4</v>
      </c>
      <c r="B16" s="1" t="s">
        <v>98</v>
      </c>
      <c r="C16" s="1" t="s">
        <v>24</v>
      </c>
      <c r="D16" s="1" t="s">
        <v>28</v>
      </c>
      <c r="E16" s="1" t="s">
        <v>20</v>
      </c>
      <c r="F16" s="1" t="s">
        <v>8</v>
      </c>
      <c r="G16" s="1" t="s">
        <v>21</v>
      </c>
      <c r="H16" s="1" t="s">
        <v>22</v>
      </c>
      <c r="I16" s="1" t="s">
        <v>23</v>
      </c>
      <c r="J16" s="1" t="s">
        <v>11</v>
      </c>
      <c r="K16" s="1" t="s">
        <v>0</v>
      </c>
      <c r="L16" s="1" t="s">
        <v>92</v>
      </c>
      <c r="M16" s="7" t="s">
        <v>91</v>
      </c>
    </row>
    <row r="17" spans="1:13" ht="42" customHeight="1">
      <c r="A17" s="6" t="s">
        <v>4</v>
      </c>
      <c r="B17" s="1" t="s">
        <v>98</v>
      </c>
      <c r="C17" s="1" t="s">
        <v>24</v>
      </c>
      <c r="D17" s="1" t="s">
        <v>28</v>
      </c>
      <c r="E17" s="1" t="s">
        <v>20</v>
      </c>
      <c r="F17" s="1" t="s">
        <v>12</v>
      </c>
      <c r="G17" s="1" t="s">
        <v>21</v>
      </c>
      <c r="H17" s="1" t="s">
        <v>22</v>
      </c>
      <c r="I17" s="1" t="s">
        <v>23</v>
      </c>
      <c r="J17" s="1" t="s">
        <v>11</v>
      </c>
      <c r="K17" s="1" t="s">
        <v>0</v>
      </c>
      <c r="L17" s="1" t="s">
        <v>92</v>
      </c>
      <c r="M17" s="7" t="s">
        <v>91</v>
      </c>
    </row>
    <row r="18" spans="1:13" ht="42" customHeight="1">
      <c r="A18" s="6" t="s">
        <v>4</v>
      </c>
      <c r="B18" s="1" t="s">
        <v>98</v>
      </c>
      <c r="C18" s="1" t="s">
        <v>24</v>
      </c>
      <c r="D18" s="1" t="s">
        <v>29</v>
      </c>
      <c r="E18" s="1" t="s">
        <v>14</v>
      </c>
      <c r="F18" s="1" t="s">
        <v>30</v>
      </c>
      <c r="G18" s="1" t="s">
        <v>31</v>
      </c>
      <c r="H18" s="1" t="s">
        <v>17</v>
      </c>
      <c r="I18" s="1" t="s">
        <v>14</v>
      </c>
      <c r="J18" s="1" t="s">
        <v>11</v>
      </c>
      <c r="K18" s="1" t="s">
        <v>2</v>
      </c>
      <c r="L18" s="1" t="s">
        <v>97</v>
      </c>
      <c r="M18" s="7" t="s">
        <v>96</v>
      </c>
    </row>
    <row r="19" spans="1:13" ht="42" customHeight="1">
      <c r="A19" s="6" t="s">
        <v>4</v>
      </c>
      <c r="B19" s="1" t="s">
        <v>98</v>
      </c>
      <c r="C19" s="1" t="s">
        <v>24</v>
      </c>
      <c r="D19" s="1" t="s">
        <v>32</v>
      </c>
      <c r="E19" s="1" t="s">
        <v>20</v>
      </c>
      <c r="F19" s="1" t="s">
        <v>27</v>
      </c>
      <c r="G19" s="1" t="s">
        <v>21</v>
      </c>
      <c r="H19" s="1" t="s">
        <v>22</v>
      </c>
      <c r="I19" s="1" t="s">
        <v>23</v>
      </c>
      <c r="J19" s="1" t="s">
        <v>11</v>
      </c>
      <c r="K19" s="1" t="s">
        <v>0</v>
      </c>
      <c r="L19" s="1" t="s">
        <v>92</v>
      </c>
      <c r="M19" s="7" t="s">
        <v>91</v>
      </c>
    </row>
    <row r="20" spans="1:13" ht="42" customHeight="1">
      <c r="A20" s="6" t="s">
        <v>4</v>
      </c>
      <c r="B20" s="1" t="s">
        <v>99</v>
      </c>
      <c r="C20" s="1" t="s">
        <v>18</v>
      </c>
      <c r="D20" s="1" t="s">
        <v>33</v>
      </c>
      <c r="E20" s="1" t="s">
        <v>34</v>
      </c>
      <c r="F20" s="1" t="s">
        <v>35</v>
      </c>
      <c r="G20" s="1" t="s">
        <v>36</v>
      </c>
      <c r="H20" s="1" t="s">
        <v>22</v>
      </c>
      <c r="I20" s="1" t="s">
        <v>23</v>
      </c>
      <c r="J20" s="1" t="s">
        <v>11</v>
      </c>
      <c r="K20" s="1" t="s">
        <v>62</v>
      </c>
      <c r="L20" s="1" t="s">
        <v>101</v>
      </c>
      <c r="M20" s="7" t="s">
        <v>100</v>
      </c>
    </row>
    <row r="21" spans="1:13" ht="42" customHeight="1">
      <c r="A21" s="6" t="s">
        <v>4</v>
      </c>
      <c r="B21" s="1" t="s">
        <v>99</v>
      </c>
      <c r="C21" s="1" t="s">
        <v>18</v>
      </c>
      <c r="D21" s="1" t="s">
        <v>33</v>
      </c>
      <c r="E21" s="1" t="s">
        <v>34</v>
      </c>
      <c r="F21" s="1" t="s">
        <v>12</v>
      </c>
      <c r="G21" s="1" t="s">
        <v>36</v>
      </c>
      <c r="H21" s="1" t="s">
        <v>22</v>
      </c>
      <c r="I21" s="1" t="s">
        <v>23</v>
      </c>
      <c r="J21" s="1" t="s">
        <v>11</v>
      </c>
      <c r="K21" s="1" t="s">
        <v>62</v>
      </c>
      <c r="L21" s="1" t="s">
        <v>101</v>
      </c>
      <c r="M21" s="7" t="s">
        <v>100</v>
      </c>
    </row>
    <row r="22" spans="1:13" ht="42" customHeight="1">
      <c r="A22" s="6" t="s">
        <v>4</v>
      </c>
      <c r="B22" s="1" t="s">
        <v>102</v>
      </c>
      <c r="C22" s="1" t="s">
        <v>24</v>
      </c>
      <c r="D22" s="1" t="s">
        <v>33</v>
      </c>
      <c r="E22" s="1" t="s">
        <v>34</v>
      </c>
      <c r="F22" s="1" t="s">
        <v>37</v>
      </c>
      <c r="G22" s="1" t="s">
        <v>36</v>
      </c>
      <c r="H22" s="1" t="s">
        <v>22</v>
      </c>
      <c r="I22" s="1" t="s">
        <v>23</v>
      </c>
      <c r="J22" s="1" t="s">
        <v>11</v>
      </c>
      <c r="K22" s="1" t="s">
        <v>62</v>
      </c>
      <c r="L22" s="1" t="s">
        <v>101</v>
      </c>
      <c r="M22" s="7" t="s">
        <v>100</v>
      </c>
    </row>
    <row r="23" spans="1:13" ht="42" customHeight="1">
      <c r="A23" s="6" t="s">
        <v>4</v>
      </c>
      <c r="B23" s="1" t="s">
        <v>102</v>
      </c>
      <c r="C23" s="1" t="s">
        <v>24</v>
      </c>
      <c r="D23" s="1" t="s">
        <v>33</v>
      </c>
      <c r="E23" s="1" t="s">
        <v>34</v>
      </c>
      <c r="F23" s="1" t="s">
        <v>12</v>
      </c>
      <c r="G23" s="1" t="s">
        <v>36</v>
      </c>
      <c r="H23" s="1" t="s">
        <v>22</v>
      </c>
      <c r="I23" s="1" t="s">
        <v>23</v>
      </c>
      <c r="J23" s="1" t="s">
        <v>11</v>
      </c>
      <c r="K23" s="1" t="s">
        <v>62</v>
      </c>
      <c r="L23" s="1" t="s">
        <v>101</v>
      </c>
      <c r="M23" s="7" t="s">
        <v>100</v>
      </c>
    </row>
    <row r="24" spans="1:13" ht="42" customHeight="1">
      <c r="A24" s="6" t="s">
        <v>38</v>
      </c>
      <c r="B24" s="1" t="s">
        <v>85</v>
      </c>
      <c r="C24" s="1" t="s">
        <v>5</v>
      </c>
      <c r="D24" s="1" t="s">
        <v>6</v>
      </c>
      <c r="E24" s="1" t="s">
        <v>7</v>
      </c>
      <c r="F24" s="1" t="s">
        <v>8</v>
      </c>
      <c r="G24" s="1" t="s">
        <v>9</v>
      </c>
      <c r="H24" s="1" t="s">
        <v>10</v>
      </c>
      <c r="I24" s="1" t="s">
        <v>7</v>
      </c>
      <c r="J24" s="1" t="s">
        <v>11</v>
      </c>
      <c r="K24" s="1" t="s">
        <v>62</v>
      </c>
      <c r="L24" s="1" t="s">
        <v>87</v>
      </c>
      <c r="M24" s="7" t="s">
        <v>86</v>
      </c>
    </row>
    <row r="25" spans="1:13" ht="42" customHeight="1">
      <c r="A25" s="6" t="s">
        <v>38</v>
      </c>
      <c r="B25" s="1" t="s">
        <v>85</v>
      </c>
      <c r="C25" s="1" t="s">
        <v>5</v>
      </c>
      <c r="D25" s="1" t="s">
        <v>6</v>
      </c>
      <c r="E25" s="1" t="s">
        <v>7</v>
      </c>
      <c r="F25" s="1" t="s">
        <v>12</v>
      </c>
      <c r="G25" s="1" t="s">
        <v>9</v>
      </c>
      <c r="H25" s="1" t="s">
        <v>10</v>
      </c>
      <c r="I25" s="1" t="s">
        <v>7</v>
      </c>
      <c r="J25" s="1" t="s">
        <v>11</v>
      </c>
      <c r="K25" s="1" t="s">
        <v>62</v>
      </c>
      <c r="L25" s="1" t="s">
        <v>87</v>
      </c>
      <c r="M25" s="7" t="s">
        <v>86</v>
      </c>
    </row>
    <row r="26" spans="1:13" ht="42" customHeight="1">
      <c r="A26" s="6" t="s">
        <v>38</v>
      </c>
      <c r="B26" s="1" t="s">
        <v>85</v>
      </c>
      <c r="C26" s="1" t="s">
        <v>5</v>
      </c>
      <c r="D26" s="1" t="s">
        <v>13</v>
      </c>
      <c r="E26" s="1" t="s">
        <v>14</v>
      </c>
      <c r="F26" s="1" t="s">
        <v>15</v>
      </c>
      <c r="G26" s="1" t="s">
        <v>16</v>
      </c>
      <c r="H26" s="1" t="s">
        <v>17</v>
      </c>
      <c r="I26" s="1" t="s">
        <v>14</v>
      </c>
      <c r="J26" s="1" t="s">
        <v>11</v>
      </c>
      <c r="K26" s="1" t="s">
        <v>1</v>
      </c>
      <c r="L26" s="1" t="s">
        <v>89</v>
      </c>
      <c r="M26" s="7" t="s">
        <v>88</v>
      </c>
    </row>
    <row r="27" spans="1:13" ht="42" customHeight="1">
      <c r="A27" s="6" t="s">
        <v>38</v>
      </c>
      <c r="B27" s="1" t="s">
        <v>90</v>
      </c>
      <c r="C27" s="1" t="s">
        <v>18</v>
      </c>
      <c r="D27" s="1" t="s">
        <v>19</v>
      </c>
      <c r="E27" s="1" t="s">
        <v>20</v>
      </c>
      <c r="F27" s="1" t="s">
        <v>8</v>
      </c>
      <c r="G27" s="1" t="s">
        <v>21</v>
      </c>
      <c r="H27" s="1" t="s">
        <v>22</v>
      </c>
      <c r="I27" s="1" t="s">
        <v>23</v>
      </c>
      <c r="J27" s="1" t="s">
        <v>11</v>
      </c>
      <c r="K27" s="1" t="s">
        <v>0</v>
      </c>
      <c r="L27" s="1" t="s">
        <v>92</v>
      </c>
      <c r="M27" s="7" t="s">
        <v>91</v>
      </c>
    </row>
    <row r="28" spans="1:13" ht="42" customHeight="1">
      <c r="A28" s="6" t="s">
        <v>38</v>
      </c>
      <c r="B28" s="1" t="s">
        <v>90</v>
      </c>
      <c r="C28" s="1" t="s">
        <v>18</v>
      </c>
      <c r="D28" s="1" t="s">
        <v>19</v>
      </c>
      <c r="E28" s="1" t="s">
        <v>20</v>
      </c>
      <c r="F28" s="1" t="s">
        <v>12</v>
      </c>
      <c r="G28" s="1" t="s">
        <v>21</v>
      </c>
      <c r="H28" s="1" t="s">
        <v>22</v>
      </c>
      <c r="I28" s="1" t="s">
        <v>23</v>
      </c>
      <c r="J28" s="1" t="s">
        <v>11</v>
      </c>
      <c r="K28" s="1" t="s">
        <v>0</v>
      </c>
      <c r="L28" s="1" t="s">
        <v>92</v>
      </c>
      <c r="M28" s="7" t="s">
        <v>91</v>
      </c>
    </row>
    <row r="29" spans="1:13" ht="42" customHeight="1">
      <c r="A29" s="6" t="s">
        <v>38</v>
      </c>
      <c r="B29" s="1" t="s">
        <v>93</v>
      </c>
      <c r="C29" s="1" t="s">
        <v>24</v>
      </c>
      <c r="D29" s="1" t="s">
        <v>19</v>
      </c>
      <c r="E29" s="1" t="s">
        <v>20</v>
      </c>
      <c r="F29" s="1" t="s">
        <v>8</v>
      </c>
      <c r="G29" s="1" t="s">
        <v>21</v>
      </c>
      <c r="H29" s="1" t="s">
        <v>22</v>
      </c>
      <c r="I29" s="1" t="s">
        <v>23</v>
      </c>
      <c r="J29" s="1" t="s">
        <v>11</v>
      </c>
      <c r="K29" s="1" t="s">
        <v>0</v>
      </c>
      <c r="L29" s="1" t="s">
        <v>92</v>
      </c>
      <c r="M29" s="7" t="s">
        <v>91</v>
      </c>
    </row>
    <row r="30" spans="1:13" ht="42" customHeight="1">
      <c r="A30" s="6" t="s">
        <v>38</v>
      </c>
      <c r="B30" s="1" t="s">
        <v>93</v>
      </c>
      <c r="C30" s="1" t="s">
        <v>24</v>
      </c>
      <c r="D30" s="1" t="s">
        <v>19</v>
      </c>
      <c r="E30" s="1" t="s">
        <v>20</v>
      </c>
      <c r="F30" s="1" t="s">
        <v>12</v>
      </c>
      <c r="G30" s="1" t="s">
        <v>21</v>
      </c>
      <c r="H30" s="1" t="s">
        <v>22</v>
      </c>
      <c r="I30" s="1" t="s">
        <v>23</v>
      </c>
      <c r="J30" s="1" t="s">
        <v>11</v>
      </c>
      <c r="K30" s="1" t="s">
        <v>0</v>
      </c>
      <c r="L30" s="1" t="s">
        <v>92</v>
      </c>
      <c r="M30" s="7" t="s">
        <v>91</v>
      </c>
    </row>
    <row r="31" spans="1:13" ht="42" customHeight="1">
      <c r="A31" s="6" t="s">
        <v>38</v>
      </c>
      <c r="B31" s="1" t="s">
        <v>94</v>
      </c>
      <c r="C31" s="1" t="s">
        <v>5</v>
      </c>
      <c r="D31" s="1" t="s">
        <v>25</v>
      </c>
      <c r="E31" s="1" t="s">
        <v>14</v>
      </c>
      <c r="F31" s="1" t="s">
        <v>15</v>
      </c>
      <c r="G31" s="1" t="s">
        <v>16</v>
      </c>
      <c r="H31" s="1" t="s">
        <v>17</v>
      </c>
      <c r="I31" s="1" t="s">
        <v>14</v>
      </c>
      <c r="J31" s="1" t="s">
        <v>11</v>
      </c>
      <c r="K31" s="1" t="s">
        <v>1</v>
      </c>
      <c r="L31" s="1" t="s">
        <v>89</v>
      </c>
      <c r="M31" s="7" t="s">
        <v>88</v>
      </c>
    </row>
    <row r="32" spans="1:13" ht="42" customHeight="1">
      <c r="A32" s="6" t="s">
        <v>38</v>
      </c>
      <c r="B32" s="1" t="s">
        <v>95</v>
      </c>
      <c r="C32" s="1" t="s">
        <v>18</v>
      </c>
      <c r="D32" s="1" t="s">
        <v>26</v>
      </c>
      <c r="E32" s="1" t="s">
        <v>20</v>
      </c>
      <c r="F32" s="1" t="s">
        <v>27</v>
      </c>
      <c r="G32" s="1" t="s">
        <v>21</v>
      </c>
      <c r="H32" s="1" t="s">
        <v>22</v>
      </c>
      <c r="I32" s="1" t="s">
        <v>23</v>
      </c>
      <c r="J32" s="1" t="s">
        <v>11</v>
      </c>
      <c r="K32" s="1" t="s">
        <v>0</v>
      </c>
      <c r="L32" s="1" t="s">
        <v>92</v>
      </c>
      <c r="M32" s="7" t="s">
        <v>91</v>
      </c>
    </row>
    <row r="33" spans="1:13" ht="42" customHeight="1">
      <c r="A33" s="6" t="s">
        <v>38</v>
      </c>
      <c r="B33" s="1" t="s">
        <v>95</v>
      </c>
      <c r="C33" s="1" t="s">
        <v>18</v>
      </c>
      <c r="D33" s="1" t="s">
        <v>28</v>
      </c>
      <c r="E33" s="1" t="s">
        <v>20</v>
      </c>
      <c r="F33" s="1" t="s">
        <v>8</v>
      </c>
      <c r="G33" s="1" t="s">
        <v>21</v>
      </c>
      <c r="H33" s="1" t="s">
        <v>22</v>
      </c>
      <c r="I33" s="1" t="s">
        <v>23</v>
      </c>
      <c r="J33" s="1" t="s">
        <v>11</v>
      </c>
      <c r="K33" s="1" t="s">
        <v>0</v>
      </c>
      <c r="L33" s="1" t="s">
        <v>92</v>
      </c>
      <c r="M33" s="7" t="s">
        <v>91</v>
      </c>
    </row>
    <row r="34" spans="1:13" ht="42" customHeight="1">
      <c r="A34" s="6" t="s">
        <v>38</v>
      </c>
      <c r="B34" s="1" t="s">
        <v>95</v>
      </c>
      <c r="C34" s="1" t="s">
        <v>18</v>
      </c>
      <c r="D34" s="1" t="s">
        <v>28</v>
      </c>
      <c r="E34" s="1" t="s">
        <v>20</v>
      </c>
      <c r="F34" s="1" t="s">
        <v>12</v>
      </c>
      <c r="G34" s="1" t="s">
        <v>21</v>
      </c>
      <c r="H34" s="1" t="s">
        <v>22</v>
      </c>
      <c r="I34" s="1" t="s">
        <v>23</v>
      </c>
      <c r="J34" s="1" t="s">
        <v>11</v>
      </c>
      <c r="K34" s="1" t="s">
        <v>0</v>
      </c>
      <c r="L34" s="1" t="s">
        <v>92</v>
      </c>
      <c r="M34" s="7" t="s">
        <v>91</v>
      </c>
    </row>
    <row r="35" spans="1:13" ht="42" customHeight="1">
      <c r="A35" s="6" t="s">
        <v>38</v>
      </c>
      <c r="B35" s="1" t="s">
        <v>95</v>
      </c>
      <c r="C35" s="1" t="s">
        <v>18</v>
      </c>
      <c r="D35" s="1" t="s">
        <v>29</v>
      </c>
      <c r="E35" s="1" t="s">
        <v>14</v>
      </c>
      <c r="F35" s="1" t="s">
        <v>30</v>
      </c>
      <c r="G35" s="1" t="s">
        <v>31</v>
      </c>
      <c r="H35" s="1" t="s">
        <v>17</v>
      </c>
      <c r="I35" s="1" t="s">
        <v>14</v>
      </c>
      <c r="J35" s="1" t="s">
        <v>11</v>
      </c>
      <c r="K35" s="1" t="s">
        <v>2</v>
      </c>
      <c r="L35" s="1" t="s">
        <v>97</v>
      </c>
      <c r="M35" s="7" t="s">
        <v>96</v>
      </c>
    </row>
    <row r="36" spans="1:13" ht="42" customHeight="1">
      <c r="A36" s="6" t="s">
        <v>38</v>
      </c>
      <c r="B36" s="1" t="s">
        <v>95</v>
      </c>
      <c r="C36" s="1" t="s">
        <v>18</v>
      </c>
      <c r="D36" s="1" t="s">
        <v>32</v>
      </c>
      <c r="E36" s="1" t="s">
        <v>20</v>
      </c>
      <c r="F36" s="1" t="s">
        <v>27</v>
      </c>
      <c r="G36" s="1" t="s">
        <v>21</v>
      </c>
      <c r="H36" s="1" t="s">
        <v>22</v>
      </c>
      <c r="I36" s="1" t="s">
        <v>23</v>
      </c>
      <c r="J36" s="1" t="s">
        <v>11</v>
      </c>
      <c r="K36" s="1" t="s">
        <v>0</v>
      </c>
      <c r="L36" s="1" t="s">
        <v>92</v>
      </c>
      <c r="M36" s="7" t="s">
        <v>91</v>
      </c>
    </row>
    <row r="37" spans="1:13" ht="42" customHeight="1">
      <c r="A37" s="6" t="s">
        <v>38</v>
      </c>
      <c r="B37" s="1" t="s">
        <v>98</v>
      </c>
      <c r="C37" s="1" t="s">
        <v>24</v>
      </c>
      <c r="D37" s="1" t="s">
        <v>26</v>
      </c>
      <c r="E37" s="1" t="s">
        <v>20</v>
      </c>
      <c r="F37" s="1" t="s">
        <v>27</v>
      </c>
      <c r="G37" s="1" t="s">
        <v>21</v>
      </c>
      <c r="H37" s="1" t="s">
        <v>22</v>
      </c>
      <c r="I37" s="1" t="s">
        <v>23</v>
      </c>
      <c r="J37" s="1" t="s">
        <v>11</v>
      </c>
      <c r="K37" s="1" t="s">
        <v>0</v>
      </c>
      <c r="L37" s="1" t="s">
        <v>92</v>
      </c>
      <c r="M37" s="7" t="s">
        <v>91</v>
      </c>
    </row>
    <row r="38" spans="1:13" ht="42" customHeight="1">
      <c r="A38" s="6" t="s">
        <v>38</v>
      </c>
      <c r="B38" s="1" t="s">
        <v>98</v>
      </c>
      <c r="C38" s="1" t="s">
        <v>24</v>
      </c>
      <c r="D38" s="1" t="s">
        <v>28</v>
      </c>
      <c r="E38" s="1" t="s">
        <v>20</v>
      </c>
      <c r="F38" s="1" t="s">
        <v>8</v>
      </c>
      <c r="G38" s="1" t="s">
        <v>21</v>
      </c>
      <c r="H38" s="1" t="s">
        <v>22</v>
      </c>
      <c r="I38" s="1" t="s">
        <v>23</v>
      </c>
      <c r="J38" s="1" t="s">
        <v>11</v>
      </c>
      <c r="K38" s="1" t="s">
        <v>0</v>
      </c>
      <c r="L38" s="1" t="s">
        <v>92</v>
      </c>
      <c r="M38" s="7" t="s">
        <v>91</v>
      </c>
    </row>
    <row r="39" spans="1:13" ht="42" customHeight="1">
      <c r="A39" s="6" t="s">
        <v>38</v>
      </c>
      <c r="B39" s="1" t="s">
        <v>98</v>
      </c>
      <c r="C39" s="1" t="s">
        <v>24</v>
      </c>
      <c r="D39" s="1" t="s">
        <v>28</v>
      </c>
      <c r="E39" s="1" t="s">
        <v>20</v>
      </c>
      <c r="F39" s="1" t="s">
        <v>12</v>
      </c>
      <c r="G39" s="1" t="s">
        <v>21</v>
      </c>
      <c r="H39" s="1" t="s">
        <v>22</v>
      </c>
      <c r="I39" s="1" t="s">
        <v>23</v>
      </c>
      <c r="J39" s="1" t="s">
        <v>11</v>
      </c>
      <c r="K39" s="1" t="s">
        <v>0</v>
      </c>
      <c r="L39" s="1" t="s">
        <v>92</v>
      </c>
      <c r="M39" s="7" t="s">
        <v>91</v>
      </c>
    </row>
    <row r="40" spans="1:13" ht="42" customHeight="1">
      <c r="A40" s="6" t="s">
        <v>38</v>
      </c>
      <c r="B40" s="1" t="s">
        <v>98</v>
      </c>
      <c r="C40" s="1" t="s">
        <v>24</v>
      </c>
      <c r="D40" s="1" t="s">
        <v>29</v>
      </c>
      <c r="E40" s="1" t="s">
        <v>14</v>
      </c>
      <c r="F40" s="1" t="s">
        <v>30</v>
      </c>
      <c r="G40" s="1" t="s">
        <v>31</v>
      </c>
      <c r="H40" s="1" t="s">
        <v>17</v>
      </c>
      <c r="I40" s="1" t="s">
        <v>14</v>
      </c>
      <c r="J40" s="1" t="s">
        <v>11</v>
      </c>
      <c r="K40" s="1" t="s">
        <v>2</v>
      </c>
      <c r="L40" s="1" t="s">
        <v>97</v>
      </c>
      <c r="M40" s="7" t="s">
        <v>96</v>
      </c>
    </row>
    <row r="41" spans="1:13" ht="42" customHeight="1">
      <c r="A41" s="6" t="s">
        <v>38</v>
      </c>
      <c r="B41" s="1" t="s">
        <v>98</v>
      </c>
      <c r="C41" s="1" t="s">
        <v>24</v>
      </c>
      <c r="D41" s="1" t="s">
        <v>32</v>
      </c>
      <c r="E41" s="1" t="s">
        <v>20</v>
      </c>
      <c r="F41" s="1" t="s">
        <v>27</v>
      </c>
      <c r="G41" s="1" t="s">
        <v>21</v>
      </c>
      <c r="H41" s="1" t="s">
        <v>22</v>
      </c>
      <c r="I41" s="1" t="s">
        <v>23</v>
      </c>
      <c r="J41" s="1" t="s">
        <v>11</v>
      </c>
      <c r="K41" s="1" t="s">
        <v>0</v>
      </c>
      <c r="L41" s="1" t="s">
        <v>92</v>
      </c>
      <c r="M41" s="7" t="s">
        <v>91</v>
      </c>
    </row>
    <row r="42" spans="1:13" ht="42" customHeight="1">
      <c r="A42" s="6" t="s">
        <v>38</v>
      </c>
      <c r="B42" s="1" t="s">
        <v>99</v>
      </c>
      <c r="C42" s="1" t="s">
        <v>18</v>
      </c>
      <c r="D42" s="1" t="s">
        <v>33</v>
      </c>
      <c r="E42" s="1" t="s">
        <v>34</v>
      </c>
      <c r="F42" s="1" t="s">
        <v>35</v>
      </c>
      <c r="G42" s="1" t="s">
        <v>36</v>
      </c>
      <c r="H42" s="1" t="s">
        <v>22</v>
      </c>
      <c r="I42" s="1" t="s">
        <v>23</v>
      </c>
      <c r="J42" s="1" t="s">
        <v>11</v>
      </c>
      <c r="K42" s="1" t="s">
        <v>62</v>
      </c>
      <c r="L42" s="1" t="s">
        <v>101</v>
      </c>
      <c r="M42" s="7" t="s">
        <v>100</v>
      </c>
    </row>
    <row r="43" spans="1:13" ht="42" customHeight="1">
      <c r="A43" s="6" t="s">
        <v>38</v>
      </c>
      <c r="B43" s="1" t="s">
        <v>99</v>
      </c>
      <c r="C43" s="1" t="s">
        <v>18</v>
      </c>
      <c r="D43" s="1" t="s">
        <v>33</v>
      </c>
      <c r="E43" s="1" t="s">
        <v>34</v>
      </c>
      <c r="F43" s="1" t="s">
        <v>12</v>
      </c>
      <c r="G43" s="1" t="s">
        <v>36</v>
      </c>
      <c r="H43" s="1" t="s">
        <v>22</v>
      </c>
      <c r="I43" s="1" t="s">
        <v>23</v>
      </c>
      <c r="J43" s="1" t="s">
        <v>11</v>
      </c>
      <c r="K43" s="1" t="s">
        <v>62</v>
      </c>
      <c r="L43" s="1" t="s">
        <v>101</v>
      </c>
      <c r="M43" s="7" t="s">
        <v>100</v>
      </c>
    </row>
    <row r="44" spans="1:13" ht="42" customHeight="1">
      <c r="A44" s="6" t="s">
        <v>38</v>
      </c>
      <c r="B44" s="1" t="s">
        <v>102</v>
      </c>
      <c r="C44" s="1" t="s">
        <v>24</v>
      </c>
      <c r="D44" s="1" t="s">
        <v>33</v>
      </c>
      <c r="E44" s="1" t="s">
        <v>34</v>
      </c>
      <c r="F44" s="1" t="s">
        <v>35</v>
      </c>
      <c r="G44" s="1" t="s">
        <v>36</v>
      </c>
      <c r="H44" s="1" t="s">
        <v>22</v>
      </c>
      <c r="I44" s="1" t="s">
        <v>23</v>
      </c>
      <c r="J44" s="1" t="s">
        <v>11</v>
      </c>
      <c r="K44" s="1" t="s">
        <v>62</v>
      </c>
      <c r="L44" s="1" t="s">
        <v>101</v>
      </c>
      <c r="M44" s="7" t="s">
        <v>100</v>
      </c>
    </row>
    <row r="45" spans="1:13" ht="42" customHeight="1">
      <c r="A45" s="6" t="s">
        <v>38</v>
      </c>
      <c r="B45" s="1" t="s">
        <v>102</v>
      </c>
      <c r="C45" s="1" t="s">
        <v>24</v>
      </c>
      <c r="D45" s="1" t="s">
        <v>33</v>
      </c>
      <c r="E45" s="1" t="s">
        <v>34</v>
      </c>
      <c r="F45" s="1" t="s">
        <v>12</v>
      </c>
      <c r="G45" s="1" t="s">
        <v>36</v>
      </c>
      <c r="H45" s="1" t="s">
        <v>22</v>
      </c>
      <c r="I45" s="1" t="s">
        <v>23</v>
      </c>
      <c r="J45" s="1" t="s">
        <v>11</v>
      </c>
      <c r="K45" s="1" t="s">
        <v>62</v>
      </c>
      <c r="L45" s="1" t="s">
        <v>101</v>
      </c>
      <c r="M45" s="7" t="s">
        <v>100</v>
      </c>
    </row>
    <row r="46" spans="1:13" ht="42" customHeight="1">
      <c r="A46" s="6" t="s">
        <v>39</v>
      </c>
      <c r="B46" s="1" t="s">
        <v>103</v>
      </c>
      <c r="C46" s="1" t="s">
        <v>40</v>
      </c>
      <c r="D46" s="1" t="s">
        <v>41</v>
      </c>
      <c r="E46" s="1" t="s">
        <v>14</v>
      </c>
      <c r="F46" s="1" t="s">
        <v>42</v>
      </c>
      <c r="G46" s="1" t="s">
        <v>43</v>
      </c>
      <c r="H46" s="1" t="s">
        <v>17</v>
      </c>
      <c r="I46" s="1" t="s">
        <v>14</v>
      </c>
      <c r="J46" s="1" t="s">
        <v>11</v>
      </c>
      <c r="K46" s="1" t="s">
        <v>0</v>
      </c>
      <c r="L46" s="1" t="s">
        <v>105</v>
      </c>
      <c r="M46" s="7" t="s">
        <v>104</v>
      </c>
    </row>
    <row r="47" spans="1:13" ht="42" customHeight="1">
      <c r="A47" s="6" t="s">
        <v>44</v>
      </c>
      <c r="B47" s="1" t="s">
        <v>103</v>
      </c>
      <c r="C47" s="1" t="s">
        <v>45</v>
      </c>
      <c r="D47" s="1" t="s">
        <v>41</v>
      </c>
      <c r="E47" s="1" t="s">
        <v>14</v>
      </c>
      <c r="F47" s="1" t="s">
        <v>42</v>
      </c>
      <c r="G47" s="1" t="s">
        <v>46</v>
      </c>
      <c r="H47" s="1" t="s">
        <v>17</v>
      </c>
      <c r="I47" s="1" t="s">
        <v>14</v>
      </c>
      <c r="J47" s="1" t="s">
        <v>11</v>
      </c>
      <c r="K47" s="1" t="s">
        <v>0</v>
      </c>
      <c r="L47" s="1" t="s">
        <v>105</v>
      </c>
      <c r="M47" s="7" t="s">
        <v>106</v>
      </c>
    </row>
    <row r="48" spans="1:13" ht="42" customHeight="1">
      <c r="A48" s="6" t="s">
        <v>44</v>
      </c>
      <c r="B48" s="1" t="s">
        <v>103</v>
      </c>
      <c r="C48" s="1" t="s">
        <v>47</v>
      </c>
      <c r="D48" s="1" t="s">
        <v>41</v>
      </c>
      <c r="E48" s="1" t="s">
        <v>14</v>
      </c>
      <c r="F48" s="1" t="s">
        <v>42</v>
      </c>
      <c r="G48" s="1" t="s">
        <v>46</v>
      </c>
      <c r="H48" s="1" t="s">
        <v>17</v>
      </c>
      <c r="I48" s="1" t="s">
        <v>14</v>
      </c>
      <c r="J48" s="1" t="s">
        <v>11</v>
      </c>
      <c r="K48" s="1" t="s">
        <v>0</v>
      </c>
      <c r="L48" s="1" t="s">
        <v>105</v>
      </c>
      <c r="M48" s="7" t="s">
        <v>107</v>
      </c>
    </row>
    <row r="49" spans="1:13" ht="42" customHeight="1">
      <c r="A49" s="6" t="s">
        <v>39</v>
      </c>
      <c r="B49" s="1" t="s">
        <v>103</v>
      </c>
      <c r="C49" s="1" t="s">
        <v>48</v>
      </c>
      <c r="D49" s="1" t="s">
        <v>49</v>
      </c>
      <c r="E49" s="1" t="s">
        <v>14</v>
      </c>
      <c r="F49" s="1" t="s">
        <v>50</v>
      </c>
      <c r="G49" s="1" t="s">
        <v>43</v>
      </c>
      <c r="H49" s="1" t="s">
        <v>17</v>
      </c>
      <c r="I49" s="1" t="s">
        <v>14</v>
      </c>
      <c r="J49" s="1" t="s">
        <v>11</v>
      </c>
      <c r="K49" s="1" t="s">
        <v>0</v>
      </c>
      <c r="L49" s="1" t="s">
        <v>109</v>
      </c>
      <c r="M49" s="7" t="s">
        <v>108</v>
      </c>
    </row>
    <row r="50" spans="1:13" ht="42" customHeight="1">
      <c r="A50" s="6" t="s">
        <v>44</v>
      </c>
      <c r="B50" s="1" t="s">
        <v>103</v>
      </c>
      <c r="C50" s="1" t="s">
        <v>45</v>
      </c>
      <c r="D50" s="1" t="s">
        <v>49</v>
      </c>
      <c r="E50" s="1" t="s">
        <v>14</v>
      </c>
      <c r="F50" s="1" t="s">
        <v>50</v>
      </c>
      <c r="G50" s="1" t="s">
        <v>46</v>
      </c>
      <c r="H50" s="1" t="s">
        <v>17</v>
      </c>
      <c r="I50" s="1" t="s">
        <v>14</v>
      </c>
      <c r="J50" s="1" t="s">
        <v>11</v>
      </c>
      <c r="K50" s="1" t="s">
        <v>0</v>
      </c>
      <c r="L50" s="1" t="s">
        <v>109</v>
      </c>
      <c r="M50" s="7" t="s">
        <v>110</v>
      </c>
    </row>
    <row r="51" spans="1:13" ht="42" customHeight="1">
      <c r="A51" s="6" t="s">
        <v>39</v>
      </c>
      <c r="B51" s="1" t="s">
        <v>103</v>
      </c>
      <c r="C51" s="1" t="s">
        <v>47</v>
      </c>
      <c r="D51" s="1" t="s">
        <v>49</v>
      </c>
      <c r="E51" s="1" t="s">
        <v>14</v>
      </c>
      <c r="F51" s="1" t="s">
        <v>50</v>
      </c>
      <c r="G51" s="1" t="s">
        <v>43</v>
      </c>
      <c r="H51" s="1" t="s">
        <v>17</v>
      </c>
      <c r="I51" s="1" t="s">
        <v>14</v>
      </c>
      <c r="J51" s="1" t="s">
        <v>11</v>
      </c>
      <c r="K51" s="1" t="s">
        <v>0</v>
      </c>
      <c r="L51" s="1" t="s">
        <v>109</v>
      </c>
      <c r="M51" s="7" t="s">
        <v>111</v>
      </c>
    </row>
    <row r="52" spans="1:13" ht="42" customHeight="1">
      <c r="A52" s="6" t="s">
        <v>39</v>
      </c>
      <c r="B52" s="1" t="s">
        <v>103</v>
      </c>
      <c r="C52" s="1" t="s">
        <v>51</v>
      </c>
      <c r="D52" s="1" t="s">
        <v>49</v>
      </c>
      <c r="E52" s="1" t="s">
        <v>14</v>
      </c>
      <c r="F52" s="1" t="s">
        <v>50</v>
      </c>
      <c r="G52" s="1" t="s">
        <v>52</v>
      </c>
      <c r="H52" s="1" t="s">
        <v>17</v>
      </c>
      <c r="I52" s="1" t="s">
        <v>14</v>
      </c>
      <c r="J52" s="1" t="s">
        <v>11</v>
      </c>
      <c r="K52" s="1" t="s">
        <v>0</v>
      </c>
      <c r="L52" s="1" t="s">
        <v>109</v>
      </c>
      <c r="M52" s="7" t="s">
        <v>112</v>
      </c>
    </row>
    <row r="53" spans="1:13" ht="42" customHeight="1">
      <c r="A53" s="8" t="s">
        <v>39</v>
      </c>
      <c r="B53" s="9" t="s">
        <v>103</v>
      </c>
      <c r="C53" s="9" t="s">
        <v>47</v>
      </c>
      <c r="D53" s="9" t="s">
        <v>53</v>
      </c>
      <c r="E53" s="9" t="s">
        <v>20</v>
      </c>
      <c r="F53" s="9" t="s">
        <v>42</v>
      </c>
      <c r="G53" s="9" t="s">
        <v>21</v>
      </c>
      <c r="H53" s="9" t="s">
        <v>22</v>
      </c>
      <c r="I53" s="9" t="s">
        <v>23</v>
      </c>
      <c r="J53" s="9" t="s">
        <v>11</v>
      </c>
      <c r="K53" s="9" t="s">
        <v>0</v>
      </c>
      <c r="L53" s="9" t="s">
        <v>105</v>
      </c>
      <c r="M53" s="10" t="s">
        <v>113</v>
      </c>
    </row>
  </sheetData>
  <phoneticPr fontId="5" type="noConversion"/>
  <conditionalFormatting sqref="K2:K53">
    <cfRule type="expression" dxfId="7" priority="1">
      <formula>K2="CURRENT"</formula>
    </cfRule>
    <cfRule type="expression" dxfId="6" priority="2">
      <formula>K2="PROPOSED"</formula>
    </cfRule>
    <cfRule type="expression" dxfId="5" priority="3">
      <formula>K2="REVIEW_REQUIRED"</formula>
    </cfRule>
    <cfRule type="expression" dxfId="4" priority="4">
      <formula>K2="DEFERRED"</formula>
    </cfRule>
  </conditionalFormatting>
  <dataValidations count="4">
    <dataValidation type="list" sqref="E2:E53" xr:uid="{00000000-0002-0000-0100-000000000000}">
      <formula1>"SELECT,FILTER,HISTORICAL_DISPLAY,AGGREGATE"</formula1>
    </dataValidation>
    <dataValidation type="list" sqref="H2:H53" xr:uid="{00000000-0002-0000-0100-000001000000}">
      <formula1>"ACTIVE_ONLY,INCLUDE_INACTIVE_REFERENCED,INCLUDE_INACTIVE_IF_PRESENT_IN_RESULTS"</formula1>
    </dataValidation>
    <dataValidation type="list" sqref="I2:I53" xr:uid="{00000000-0002-0000-0100-000002000000}">
      <formula1>"SELECT,FILTER,READ_ONLY"</formula1>
    </dataValidation>
    <dataValidation type="list" sqref="K2:K53" xr:uid="{00000000-0002-0000-0100-000003000000}">
      <formula1>"CURRENT,PROPOSED,REVIEW_REQUIRED,DEFERRED"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topLeftCell="E1" workbookViewId="0">
      <pane ySplit="1" topLeftCell="A2" activePane="bottomLeft" state="frozenSplit"/>
      <selection pane="bottomLeft" activeCell="E12" sqref="A12:XFD12"/>
    </sheetView>
  </sheetViews>
  <sheetFormatPr defaultRowHeight="14.25"/>
  <cols>
    <col min="1" max="1" width="15.75" bestFit="1" customWidth="1"/>
    <col min="2" max="2" width="16.875" bestFit="1" customWidth="1"/>
    <col min="3" max="3" width="49.875" bestFit="1" customWidth="1"/>
    <col min="4" max="4" width="63.625" bestFit="1" customWidth="1"/>
    <col min="5" max="5" width="20.5" bestFit="1" customWidth="1"/>
    <col min="6" max="6" width="52.875" bestFit="1" customWidth="1"/>
    <col min="7" max="7" width="61.625" bestFit="1" customWidth="1"/>
  </cols>
  <sheetData>
    <row r="1" spans="1:7" ht="15">
      <c r="A1" s="3" t="s">
        <v>114</v>
      </c>
      <c r="B1" s="4" t="s">
        <v>115</v>
      </c>
      <c r="C1" s="4" t="s">
        <v>116</v>
      </c>
      <c r="D1" s="4" t="s">
        <v>117</v>
      </c>
      <c r="E1" s="4" t="s">
        <v>67</v>
      </c>
      <c r="F1" s="4" t="s">
        <v>83</v>
      </c>
      <c r="G1" s="5" t="s">
        <v>118</v>
      </c>
    </row>
    <row r="2" spans="1:7" ht="54" customHeight="1">
      <c r="A2" s="6" t="s">
        <v>54</v>
      </c>
      <c r="B2" s="1" t="s">
        <v>119</v>
      </c>
      <c r="C2" s="1" t="s">
        <v>120</v>
      </c>
      <c r="D2" s="1" t="s">
        <v>121</v>
      </c>
      <c r="E2" s="1" t="s">
        <v>63</v>
      </c>
      <c r="F2" s="1" t="s">
        <v>123</v>
      </c>
      <c r="G2" s="7" t="s">
        <v>122</v>
      </c>
    </row>
    <row r="3" spans="1:7" ht="54" customHeight="1">
      <c r="A3" s="6" t="s">
        <v>56</v>
      </c>
      <c r="B3" s="1" t="s">
        <v>124</v>
      </c>
      <c r="C3" s="1" t="s">
        <v>125</v>
      </c>
      <c r="D3" s="1" t="s">
        <v>126</v>
      </c>
      <c r="E3" s="1" t="s">
        <v>55</v>
      </c>
      <c r="F3" s="1" t="s">
        <v>89</v>
      </c>
      <c r="G3" s="7" t="s">
        <v>127</v>
      </c>
    </row>
    <row r="4" spans="1:7" ht="54" customHeight="1">
      <c r="A4" s="6" t="s">
        <v>57</v>
      </c>
      <c r="B4" s="1" t="s">
        <v>128</v>
      </c>
      <c r="C4" s="1" t="s">
        <v>129</v>
      </c>
      <c r="D4" s="1" t="s">
        <v>130</v>
      </c>
      <c r="E4" s="1" t="s">
        <v>55</v>
      </c>
      <c r="F4" s="1" t="s">
        <v>132</v>
      </c>
      <c r="G4" s="7" t="s">
        <v>131</v>
      </c>
    </row>
    <row r="5" spans="1:7" ht="54" customHeight="1">
      <c r="A5" s="6" t="s">
        <v>58</v>
      </c>
      <c r="B5" s="1" t="s">
        <v>133</v>
      </c>
      <c r="C5" s="1" t="s">
        <v>134</v>
      </c>
      <c r="D5" s="1" t="s">
        <v>135</v>
      </c>
      <c r="E5" s="1" t="s">
        <v>2</v>
      </c>
      <c r="F5" s="1" t="s">
        <v>137</v>
      </c>
      <c r="G5" s="7" t="s">
        <v>136</v>
      </c>
    </row>
    <row r="6" spans="1:7" ht="54" customHeight="1">
      <c r="A6" s="6" t="s">
        <v>59</v>
      </c>
      <c r="B6" s="1" t="s">
        <v>209</v>
      </c>
      <c r="C6" s="1" t="s">
        <v>138</v>
      </c>
      <c r="D6" s="1" t="s">
        <v>139</v>
      </c>
      <c r="E6" s="1" t="s">
        <v>55</v>
      </c>
      <c r="F6" s="1" t="s">
        <v>109</v>
      </c>
      <c r="G6" s="7" t="s">
        <v>140</v>
      </c>
    </row>
    <row r="7" spans="1:7" ht="54" customHeight="1">
      <c r="A7" s="6" t="s">
        <v>60</v>
      </c>
      <c r="B7" s="1" t="s">
        <v>141</v>
      </c>
      <c r="C7" s="1" t="s">
        <v>142</v>
      </c>
      <c r="D7" s="1" t="s">
        <v>143</v>
      </c>
      <c r="E7" s="1" t="s">
        <v>55</v>
      </c>
      <c r="F7" s="1" t="s">
        <v>145</v>
      </c>
      <c r="G7" s="7" t="s">
        <v>144</v>
      </c>
    </row>
    <row r="8" spans="1:7" ht="54" customHeight="1">
      <c r="A8" s="8" t="s">
        <v>61</v>
      </c>
      <c r="B8" s="9" t="s">
        <v>146</v>
      </c>
      <c r="C8" s="9" t="s">
        <v>147</v>
      </c>
      <c r="D8" s="9" t="s">
        <v>148</v>
      </c>
      <c r="E8" s="9" t="s">
        <v>63</v>
      </c>
      <c r="F8" s="9" t="s">
        <v>132</v>
      </c>
      <c r="G8" s="10" t="s">
        <v>149</v>
      </c>
    </row>
  </sheetData>
  <phoneticPr fontId="5" type="noConversion"/>
  <conditionalFormatting sqref="E2:E8">
    <cfRule type="expression" dxfId="3" priority="1">
      <formula>E2="OPEN"</formula>
    </cfRule>
    <cfRule type="expression" dxfId="2" priority="2">
      <formula>E2="REVIEW_REQUIRED"</formula>
    </cfRule>
    <cfRule type="expression" dxfId="1" priority="3">
      <formula>E2="RESOLVED"</formula>
    </cfRule>
    <cfRule type="expression" dxfId="0" priority="4">
      <formula>E2="DEFERRED"</formula>
    </cfRule>
  </conditionalFormatting>
  <dataValidations count="1">
    <dataValidation type="list" sqref="E2:E8" xr:uid="{00000000-0002-0000-0200-000000000000}">
      <formula1>"OPEN,REVIEW_REQUIRED,RESOLVED,DEFERRED"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pane ySplit="1" topLeftCell="A2" activePane="bottomLeft" state="frozenSplit"/>
      <selection pane="bottomLeft" activeCell="A24" sqref="A24"/>
    </sheetView>
  </sheetViews>
  <sheetFormatPr defaultRowHeight="14.25"/>
  <cols>
    <col min="1" max="1" width="18.125" bestFit="1" customWidth="1"/>
    <col min="2" max="2" width="47.125" bestFit="1" customWidth="1"/>
    <col min="3" max="3" width="78.75" bestFit="1" customWidth="1"/>
  </cols>
  <sheetData>
    <row r="1" spans="1:3" ht="15">
      <c r="A1" s="3" t="s">
        <v>150</v>
      </c>
      <c r="B1" s="4" t="s">
        <v>151</v>
      </c>
      <c r="C1" s="5" t="s">
        <v>152</v>
      </c>
    </row>
    <row r="2" spans="1:3">
      <c r="A2" s="6" t="s">
        <v>77</v>
      </c>
      <c r="B2" s="1" t="s">
        <v>14</v>
      </c>
      <c r="C2" s="7" t="s">
        <v>153</v>
      </c>
    </row>
    <row r="3" spans="1:3">
      <c r="A3" s="6" t="s">
        <v>77</v>
      </c>
      <c r="B3" s="1" t="s">
        <v>7</v>
      </c>
      <c r="C3" s="7" t="s">
        <v>154</v>
      </c>
    </row>
    <row r="4" spans="1:3">
      <c r="A4" s="6" t="s">
        <v>77</v>
      </c>
      <c r="B4" s="1" t="s">
        <v>20</v>
      </c>
      <c r="C4" s="7" t="s">
        <v>155</v>
      </c>
    </row>
    <row r="5" spans="1:3">
      <c r="A5" s="6" t="s">
        <v>77</v>
      </c>
      <c r="B5" s="1" t="s">
        <v>34</v>
      </c>
      <c r="C5" s="7" t="s">
        <v>156</v>
      </c>
    </row>
    <row r="6" spans="1:3">
      <c r="A6" s="6" t="s">
        <v>79</v>
      </c>
      <c r="B6" s="1" t="s">
        <v>16</v>
      </c>
      <c r="C6" s="7" t="s">
        <v>157</v>
      </c>
    </row>
    <row r="7" spans="1:3">
      <c r="A7" s="6" t="s">
        <v>79</v>
      </c>
      <c r="B7" s="1" t="s">
        <v>46</v>
      </c>
      <c r="C7" s="7" t="s">
        <v>158</v>
      </c>
    </row>
    <row r="8" spans="1:3">
      <c r="A8" s="6" t="s">
        <v>79</v>
      </c>
      <c r="B8" s="1" t="s">
        <v>43</v>
      </c>
      <c r="C8" s="7" t="s">
        <v>159</v>
      </c>
    </row>
    <row r="9" spans="1:3">
      <c r="A9" s="6" t="s">
        <v>79</v>
      </c>
      <c r="B9" s="1" t="s">
        <v>52</v>
      </c>
      <c r="C9" s="7" t="s">
        <v>160</v>
      </c>
    </row>
    <row r="10" spans="1:3">
      <c r="A10" s="6" t="s">
        <v>79</v>
      </c>
      <c r="B10" s="1" t="s">
        <v>21</v>
      </c>
      <c r="C10" s="7" t="s">
        <v>161</v>
      </c>
    </row>
    <row r="11" spans="1:3">
      <c r="A11" s="6" t="s">
        <v>79</v>
      </c>
      <c r="B11" s="1" t="s">
        <v>9</v>
      </c>
      <c r="C11" s="7" t="s">
        <v>162</v>
      </c>
    </row>
    <row r="12" spans="1:3">
      <c r="A12" s="6" t="s">
        <v>79</v>
      </c>
      <c r="B12" s="1" t="s">
        <v>36</v>
      </c>
      <c r="C12" s="7" t="s">
        <v>163</v>
      </c>
    </row>
    <row r="13" spans="1:3">
      <c r="A13" s="6" t="s">
        <v>79</v>
      </c>
      <c r="B13" s="1" t="s">
        <v>31</v>
      </c>
      <c r="C13" s="7" t="s">
        <v>164</v>
      </c>
    </row>
    <row r="14" spans="1:3">
      <c r="A14" s="6" t="s">
        <v>80</v>
      </c>
      <c r="B14" s="1" t="s">
        <v>17</v>
      </c>
      <c r="C14" s="7" t="s">
        <v>165</v>
      </c>
    </row>
    <row r="15" spans="1:3">
      <c r="A15" s="6" t="s">
        <v>80</v>
      </c>
      <c r="B15" s="1" t="s">
        <v>22</v>
      </c>
      <c r="C15" s="7" t="s">
        <v>166</v>
      </c>
    </row>
    <row r="16" spans="1:3">
      <c r="A16" s="6" t="s">
        <v>80</v>
      </c>
      <c r="B16" s="1" t="s">
        <v>10</v>
      </c>
      <c r="C16" s="7" t="s">
        <v>167</v>
      </c>
    </row>
    <row r="17" spans="1:3">
      <c r="A17" s="6" t="s">
        <v>82</v>
      </c>
      <c r="B17" s="1" t="s">
        <v>11</v>
      </c>
      <c r="C17" s="7" t="s">
        <v>168</v>
      </c>
    </row>
    <row r="18" spans="1:3">
      <c r="A18" s="6" t="s">
        <v>67</v>
      </c>
      <c r="B18" s="1" t="s">
        <v>0</v>
      </c>
      <c r="C18" s="7" t="s">
        <v>169</v>
      </c>
    </row>
    <row r="19" spans="1:3">
      <c r="A19" s="6" t="s">
        <v>67</v>
      </c>
      <c r="B19" s="1" t="s">
        <v>1</v>
      </c>
      <c r="C19" s="7" t="s">
        <v>170</v>
      </c>
    </row>
    <row r="20" spans="1:3">
      <c r="A20" s="6" t="s">
        <v>67</v>
      </c>
      <c r="B20" s="1" t="s">
        <v>2</v>
      </c>
      <c r="C20" s="7" t="s">
        <v>171</v>
      </c>
    </row>
    <row r="21" spans="1:3">
      <c r="A21" s="8" t="s">
        <v>67</v>
      </c>
      <c r="B21" s="9" t="s">
        <v>3</v>
      </c>
      <c r="C21" s="10" t="s">
        <v>172</v>
      </c>
    </row>
    <row r="22" spans="1:3">
      <c r="A22" s="11" t="s">
        <v>173</v>
      </c>
      <c r="B22" s="11" t="s">
        <v>55</v>
      </c>
      <c r="C22" s="11" t="s">
        <v>174</v>
      </c>
    </row>
    <row r="23" spans="1:3">
      <c r="A23" s="11" t="s">
        <v>173</v>
      </c>
      <c r="B23" s="11" t="s">
        <v>2</v>
      </c>
      <c r="C23" s="11" t="s">
        <v>175</v>
      </c>
    </row>
    <row r="24" spans="1:3">
      <c r="A24" s="11" t="s">
        <v>173</v>
      </c>
      <c r="B24" s="11" t="s">
        <v>64</v>
      </c>
      <c r="C24" s="11" t="s">
        <v>176</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workbookViewId="0">
      <pane ySplit="1" topLeftCell="A2" activePane="bottomLeft" state="frozenSplit"/>
      <selection pane="bottomLeft" sqref="A1:XFD1"/>
    </sheetView>
  </sheetViews>
  <sheetFormatPr defaultRowHeight="14.25"/>
  <cols>
    <col min="1" max="1" width="15.5" bestFit="1" customWidth="1"/>
    <col min="2" max="2" width="18.875" bestFit="1" customWidth="1"/>
    <col min="3" max="3" width="15.5" bestFit="1" customWidth="1"/>
    <col min="4" max="4" width="18.875" bestFit="1" customWidth="1"/>
    <col min="5" max="5" width="21.5" bestFit="1" customWidth="1"/>
    <col min="6" max="6" width="26.625" bestFit="1" customWidth="1"/>
    <col min="7" max="7" width="9.25" bestFit="1" customWidth="1"/>
    <col min="8" max="8" width="36.125" bestFit="1" customWidth="1"/>
  </cols>
  <sheetData>
    <row r="1" spans="1:8" ht="15">
      <c r="A1" s="3" t="s">
        <v>73</v>
      </c>
      <c r="B1" s="4" t="s">
        <v>74</v>
      </c>
      <c r="C1" s="4" t="s">
        <v>76</v>
      </c>
      <c r="D1" s="4" t="s">
        <v>177</v>
      </c>
      <c r="E1" s="4" t="s">
        <v>178</v>
      </c>
      <c r="F1" s="4" t="s">
        <v>179</v>
      </c>
      <c r="G1" s="4" t="s">
        <v>180</v>
      </c>
      <c r="H1" s="5" t="s">
        <v>181</v>
      </c>
    </row>
    <row r="2" spans="1:8">
      <c r="A2" s="6" t="s">
        <v>182</v>
      </c>
      <c r="B2" s="1" t="s">
        <v>85</v>
      </c>
      <c r="C2" s="1" t="s">
        <v>183</v>
      </c>
      <c r="D2" s="1" t="s">
        <v>184</v>
      </c>
      <c r="E2" s="1" t="s">
        <v>185</v>
      </c>
      <c r="F2" s="1" t="s">
        <v>185</v>
      </c>
      <c r="G2" s="1" t="s">
        <v>186</v>
      </c>
      <c r="H2" s="7" t="s">
        <v>187</v>
      </c>
    </row>
    <row r="3" spans="1:8">
      <c r="A3" s="6" t="s">
        <v>182</v>
      </c>
      <c r="B3" s="1" t="s">
        <v>85</v>
      </c>
      <c r="C3" s="1" t="s">
        <v>183</v>
      </c>
      <c r="D3" s="1" t="s">
        <v>188</v>
      </c>
      <c r="E3" s="1" t="s">
        <v>189</v>
      </c>
      <c r="F3" s="1" t="s">
        <v>185</v>
      </c>
      <c r="G3" s="1" t="s">
        <v>186</v>
      </c>
      <c r="H3" s="7"/>
    </row>
    <row r="4" spans="1:8">
      <c r="A4" s="6" t="s">
        <v>182</v>
      </c>
      <c r="B4" s="1" t="s">
        <v>85</v>
      </c>
      <c r="C4" s="1" t="s">
        <v>190</v>
      </c>
      <c r="D4" s="1" t="s">
        <v>191</v>
      </c>
      <c r="E4" s="1" t="s">
        <v>189</v>
      </c>
      <c r="F4" s="1" t="s">
        <v>192</v>
      </c>
      <c r="G4" s="1" t="s">
        <v>186</v>
      </c>
      <c r="H4" s="7" t="s">
        <v>193</v>
      </c>
    </row>
    <row r="5" spans="1:8" ht="28.5">
      <c r="A5" s="6" t="s">
        <v>182</v>
      </c>
      <c r="B5" s="1" t="s">
        <v>90</v>
      </c>
      <c r="C5" s="1" t="s">
        <v>194</v>
      </c>
      <c r="D5" s="1" t="s">
        <v>184</v>
      </c>
      <c r="E5" s="1" t="s">
        <v>189</v>
      </c>
      <c r="F5" s="1" t="s">
        <v>185</v>
      </c>
      <c r="G5" s="1" t="s">
        <v>195</v>
      </c>
      <c r="H5" s="7" t="s">
        <v>196</v>
      </c>
    </row>
    <row r="6" spans="1:8" ht="28.5">
      <c r="A6" s="6" t="s">
        <v>182</v>
      </c>
      <c r="B6" s="1" t="s">
        <v>90</v>
      </c>
      <c r="C6" s="1" t="s">
        <v>194</v>
      </c>
      <c r="D6" s="1" t="s">
        <v>188</v>
      </c>
      <c r="E6" s="1" t="s">
        <v>189</v>
      </c>
      <c r="F6" s="1" t="s">
        <v>185</v>
      </c>
      <c r="G6" s="1" t="s">
        <v>195</v>
      </c>
      <c r="H6" s="7" t="s">
        <v>196</v>
      </c>
    </row>
    <row r="7" spans="1:8">
      <c r="A7" s="6" t="s">
        <v>182</v>
      </c>
      <c r="B7" s="1" t="s">
        <v>93</v>
      </c>
      <c r="C7" s="1" t="s">
        <v>194</v>
      </c>
      <c r="D7" s="1" t="s">
        <v>184</v>
      </c>
      <c r="E7" s="1" t="s">
        <v>185</v>
      </c>
      <c r="F7" s="1" t="s">
        <v>185</v>
      </c>
      <c r="G7" s="1" t="s">
        <v>195</v>
      </c>
      <c r="H7" s="7" t="s">
        <v>196</v>
      </c>
    </row>
    <row r="8" spans="1:8">
      <c r="A8" s="6" t="s">
        <v>182</v>
      </c>
      <c r="B8" s="1" t="s">
        <v>93</v>
      </c>
      <c r="C8" s="1" t="s">
        <v>194</v>
      </c>
      <c r="D8" s="1" t="s">
        <v>188</v>
      </c>
      <c r="E8" s="1" t="s">
        <v>189</v>
      </c>
      <c r="F8" s="1" t="s">
        <v>185</v>
      </c>
      <c r="G8" s="1" t="s">
        <v>195</v>
      </c>
      <c r="H8" s="7" t="s">
        <v>196</v>
      </c>
    </row>
    <row r="9" spans="1:8">
      <c r="A9" s="6" t="s">
        <v>182</v>
      </c>
      <c r="B9" s="1" t="s">
        <v>94</v>
      </c>
      <c r="C9" s="1" t="s">
        <v>197</v>
      </c>
      <c r="D9" s="1" t="s">
        <v>191</v>
      </c>
      <c r="E9" s="1" t="s">
        <v>189</v>
      </c>
      <c r="F9" s="1" t="s">
        <v>192</v>
      </c>
      <c r="G9" s="1" t="s">
        <v>186</v>
      </c>
      <c r="H9" s="7" t="s">
        <v>193</v>
      </c>
    </row>
    <row r="10" spans="1:8" ht="28.5">
      <c r="A10" s="6" t="s">
        <v>182</v>
      </c>
      <c r="B10" s="1" t="s">
        <v>95</v>
      </c>
      <c r="C10" s="1" t="s">
        <v>198</v>
      </c>
      <c r="D10" s="1" t="s">
        <v>199</v>
      </c>
      <c r="E10" s="1" t="s">
        <v>189</v>
      </c>
      <c r="F10" s="1" t="s">
        <v>185</v>
      </c>
      <c r="G10" s="1" t="s">
        <v>195</v>
      </c>
      <c r="H10" s="7" t="s">
        <v>196</v>
      </c>
    </row>
    <row r="11" spans="1:8" ht="28.5">
      <c r="A11" s="6" t="s">
        <v>182</v>
      </c>
      <c r="B11" s="1" t="s">
        <v>95</v>
      </c>
      <c r="C11" s="1" t="s">
        <v>200</v>
      </c>
      <c r="D11" s="1" t="s">
        <v>184</v>
      </c>
      <c r="E11" s="1" t="s">
        <v>189</v>
      </c>
      <c r="F11" s="1" t="s">
        <v>185</v>
      </c>
      <c r="G11" s="1" t="s">
        <v>195</v>
      </c>
      <c r="H11" s="7" t="s">
        <v>196</v>
      </c>
    </row>
    <row r="12" spans="1:8" ht="28.5">
      <c r="A12" s="6" t="s">
        <v>182</v>
      </c>
      <c r="B12" s="1" t="s">
        <v>95</v>
      </c>
      <c r="C12" s="1" t="s">
        <v>200</v>
      </c>
      <c r="D12" s="1" t="s">
        <v>188</v>
      </c>
      <c r="E12" s="1" t="s">
        <v>189</v>
      </c>
      <c r="F12" s="1" t="s">
        <v>185</v>
      </c>
      <c r="G12" s="1" t="s">
        <v>195</v>
      </c>
      <c r="H12" s="7" t="s">
        <v>196</v>
      </c>
    </row>
    <row r="13" spans="1:8" ht="28.5">
      <c r="A13" s="6" t="s">
        <v>182</v>
      </c>
      <c r="B13" s="1" t="s">
        <v>95</v>
      </c>
      <c r="C13" s="1" t="s">
        <v>201</v>
      </c>
      <c r="D13" s="1" t="s">
        <v>202</v>
      </c>
      <c r="E13" s="1" t="s">
        <v>189</v>
      </c>
      <c r="F13" s="1" t="s">
        <v>192</v>
      </c>
      <c r="G13" s="1" t="s">
        <v>186</v>
      </c>
      <c r="H13" s="7"/>
    </row>
    <row r="14" spans="1:8" ht="28.5">
      <c r="A14" s="6" t="s">
        <v>182</v>
      </c>
      <c r="B14" s="1" t="s">
        <v>95</v>
      </c>
      <c r="C14" s="1" t="s">
        <v>203</v>
      </c>
      <c r="D14" s="1" t="s">
        <v>182</v>
      </c>
      <c r="E14" s="1" t="s">
        <v>189</v>
      </c>
      <c r="F14" s="1" t="s">
        <v>185</v>
      </c>
      <c r="G14" s="1" t="s">
        <v>195</v>
      </c>
      <c r="H14" s="7" t="s">
        <v>196</v>
      </c>
    </row>
    <row r="15" spans="1:8">
      <c r="A15" s="6" t="s">
        <v>182</v>
      </c>
      <c r="B15" s="1" t="s">
        <v>98</v>
      </c>
      <c r="C15" s="1" t="s">
        <v>198</v>
      </c>
      <c r="D15" s="1" t="s">
        <v>199</v>
      </c>
      <c r="E15" s="1" t="s">
        <v>204</v>
      </c>
      <c r="F15" s="1" t="s">
        <v>185</v>
      </c>
      <c r="G15" s="1" t="s">
        <v>195</v>
      </c>
      <c r="H15" s="7" t="s">
        <v>196</v>
      </c>
    </row>
    <row r="16" spans="1:8">
      <c r="A16" s="6" t="s">
        <v>182</v>
      </c>
      <c r="B16" s="1" t="s">
        <v>98</v>
      </c>
      <c r="C16" s="1" t="s">
        <v>200</v>
      </c>
      <c r="D16" s="1" t="s">
        <v>184</v>
      </c>
      <c r="E16" s="1" t="s">
        <v>204</v>
      </c>
      <c r="F16" s="1" t="s">
        <v>185</v>
      </c>
      <c r="G16" s="1" t="s">
        <v>195</v>
      </c>
      <c r="H16" s="7" t="s">
        <v>196</v>
      </c>
    </row>
    <row r="17" spans="1:8">
      <c r="A17" s="6" t="s">
        <v>182</v>
      </c>
      <c r="B17" s="1" t="s">
        <v>98</v>
      </c>
      <c r="C17" s="1" t="s">
        <v>200</v>
      </c>
      <c r="D17" s="1" t="s">
        <v>188</v>
      </c>
      <c r="E17" s="1" t="s">
        <v>189</v>
      </c>
      <c r="F17" s="1" t="s">
        <v>185</v>
      </c>
      <c r="G17" s="1" t="s">
        <v>195</v>
      </c>
      <c r="H17" s="7" t="s">
        <v>196</v>
      </c>
    </row>
    <row r="18" spans="1:8">
      <c r="A18" s="6" t="s">
        <v>182</v>
      </c>
      <c r="B18" s="1" t="s">
        <v>98</v>
      </c>
      <c r="C18" s="1" t="s">
        <v>201</v>
      </c>
      <c r="D18" s="1" t="s">
        <v>202</v>
      </c>
      <c r="E18" s="1" t="s">
        <v>189</v>
      </c>
      <c r="F18" s="1" t="s">
        <v>192</v>
      </c>
      <c r="G18" s="1" t="s">
        <v>186</v>
      </c>
      <c r="H18" s="7"/>
    </row>
    <row r="19" spans="1:8">
      <c r="A19" s="6" t="s">
        <v>182</v>
      </c>
      <c r="B19" s="1" t="s">
        <v>98</v>
      </c>
      <c r="C19" s="1" t="s">
        <v>203</v>
      </c>
      <c r="D19" s="1" t="s">
        <v>182</v>
      </c>
      <c r="E19" s="1" t="s">
        <v>204</v>
      </c>
      <c r="F19" s="1" t="s">
        <v>185</v>
      </c>
      <c r="G19" s="1" t="s">
        <v>195</v>
      </c>
      <c r="H19" s="7" t="s">
        <v>196</v>
      </c>
    </row>
    <row r="20" spans="1:8">
      <c r="A20" s="6" t="s">
        <v>182</v>
      </c>
      <c r="B20" s="1" t="s">
        <v>99</v>
      </c>
      <c r="C20" s="1" t="s">
        <v>205</v>
      </c>
      <c r="D20" s="1" t="s">
        <v>206</v>
      </c>
      <c r="E20" s="1" t="s">
        <v>189</v>
      </c>
      <c r="F20" s="1" t="s">
        <v>185</v>
      </c>
      <c r="G20" s="1" t="s">
        <v>195</v>
      </c>
      <c r="H20" s="7" t="s">
        <v>196</v>
      </c>
    </row>
    <row r="21" spans="1:8">
      <c r="A21" s="6" t="s">
        <v>182</v>
      </c>
      <c r="B21" s="1" t="s">
        <v>99</v>
      </c>
      <c r="C21" s="1" t="s">
        <v>205</v>
      </c>
      <c r="D21" s="1" t="s">
        <v>188</v>
      </c>
      <c r="E21" s="1" t="s">
        <v>189</v>
      </c>
      <c r="F21" s="1" t="s">
        <v>185</v>
      </c>
      <c r="G21" s="1" t="s">
        <v>195</v>
      </c>
      <c r="H21" s="7" t="s">
        <v>196</v>
      </c>
    </row>
    <row r="22" spans="1:8">
      <c r="A22" s="6" t="s">
        <v>182</v>
      </c>
      <c r="B22" s="1" t="s">
        <v>102</v>
      </c>
      <c r="C22" s="1" t="s">
        <v>205</v>
      </c>
      <c r="D22" s="1" t="s">
        <v>207</v>
      </c>
      <c r="E22" s="1" t="s">
        <v>185</v>
      </c>
      <c r="F22" s="1" t="s">
        <v>185</v>
      </c>
      <c r="G22" s="1" t="s">
        <v>195</v>
      </c>
      <c r="H22" s="7" t="s">
        <v>196</v>
      </c>
    </row>
    <row r="23" spans="1:8">
      <c r="A23" s="6" t="s">
        <v>182</v>
      </c>
      <c r="B23" s="1" t="s">
        <v>102</v>
      </c>
      <c r="C23" s="1" t="s">
        <v>205</v>
      </c>
      <c r="D23" s="1" t="s">
        <v>188</v>
      </c>
      <c r="E23" s="1" t="s">
        <v>189</v>
      </c>
      <c r="F23" s="1" t="s">
        <v>185</v>
      </c>
      <c r="G23" s="1" t="s">
        <v>195</v>
      </c>
      <c r="H23" s="7" t="s">
        <v>196</v>
      </c>
    </row>
    <row r="24" spans="1:8">
      <c r="A24" s="6" t="s">
        <v>207</v>
      </c>
      <c r="B24" s="1" t="s">
        <v>85</v>
      </c>
      <c r="C24" s="1" t="s">
        <v>183</v>
      </c>
      <c r="D24" s="1" t="s">
        <v>184</v>
      </c>
      <c r="E24" s="1" t="s">
        <v>208</v>
      </c>
      <c r="F24" s="1" t="s">
        <v>185</v>
      </c>
      <c r="G24" s="1" t="s">
        <v>186</v>
      </c>
      <c r="H24" s="7"/>
    </row>
    <row r="25" spans="1:8">
      <c r="A25" s="6" t="s">
        <v>207</v>
      </c>
      <c r="B25" s="1" t="s">
        <v>85</v>
      </c>
      <c r="C25" s="1" t="s">
        <v>183</v>
      </c>
      <c r="D25" s="1" t="s">
        <v>188</v>
      </c>
      <c r="E25" s="1" t="s">
        <v>189</v>
      </c>
      <c r="F25" s="1" t="s">
        <v>185</v>
      </c>
      <c r="G25" s="1" t="s">
        <v>186</v>
      </c>
      <c r="H25" s="7"/>
    </row>
    <row r="26" spans="1:8">
      <c r="A26" s="6" t="s">
        <v>207</v>
      </c>
      <c r="B26" s="1" t="s">
        <v>85</v>
      </c>
      <c r="C26" s="1" t="s">
        <v>190</v>
      </c>
      <c r="D26" s="1" t="s">
        <v>191</v>
      </c>
      <c r="E26" s="1" t="s">
        <v>208</v>
      </c>
      <c r="F26" s="1" t="s">
        <v>192</v>
      </c>
      <c r="G26" s="1" t="s">
        <v>186</v>
      </c>
      <c r="H26" s="7" t="s">
        <v>193</v>
      </c>
    </row>
    <row r="27" spans="1:8" ht="28.5">
      <c r="A27" s="6" t="s">
        <v>207</v>
      </c>
      <c r="B27" s="1" t="s">
        <v>90</v>
      </c>
      <c r="C27" s="1" t="s">
        <v>194</v>
      </c>
      <c r="D27" s="1" t="s">
        <v>184</v>
      </c>
      <c r="E27" s="1" t="s">
        <v>208</v>
      </c>
      <c r="F27" s="1" t="s">
        <v>185</v>
      </c>
      <c r="G27" s="1" t="s">
        <v>195</v>
      </c>
      <c r="H27" s="7" t="s">
        <v>196</v>
      </c>
    </row>
    <row r="28" spans="1:8" ht="28.5">
      <c r="A28" s="6" t="s">
        <v>207</v>
      </c>
      <c r="B28" s="1" t="s">
        <v>90</v>
      </c>
      <c r="C28" s="1" t="s">
        <v>194</v>
      </c>
      <c r="D28" s="1" t="s">
        <v>188</v>
      </c>
      <c r="E28" s="1" t="s">
        <v>208</v>
      </c>
      <c r="F28" s="1" t="s">
        <v>185</v>
      </c>
      <c r="G28" s="1" t="s">
        <v>195</v>
      </c>
      <c r="H28" s="7" t="s">
        <v>196</v>
      </c>
    </row>
    <row r="29" spans="1:8">
      <c r="A29" s="6" t="s">
        <v>207</v>
      </c>
      <c r="B29" s="1" t="s">
        <v>93</v>
      </c>
      <c r="C29" s="1" t="s">
        <v>194</v>
      </c>
      <c r="D29" s="1" t="s">
        <v>184</v>
      </c>
      <c r="E29" s="1" t="s">
        <v>208</v>
      </c>
      <c r="F29" s="1" t="s">
        <v>185</v>
      </c>
      <c r="G29" s="1" t="s">
        <v>195</v>
      </c>
      <c r="H29" s="7" t="s">
        <v>196</v>
      </c>
    </row>
    <row r="30" spans="1:8">
      <c r="A30" s="6" t="s">
        <v>207</v>
      </c>
      <c r="B30" s="1" t="s">
        <v>93</v>
      </c>
      <c r="C30" s="1" t="s">
        <v>194</v>
      </c>
      <c r="D30" s="1" t="s">
        <v>188</v>
      </c>
      <c r="E30" s="1" t="s">
        <v>189</v>
      </c>
      <c r="F30" s="1" t="s">
        <v>185</v>
      </c>
      <c r="G30" s="1" t="s">
        <v>195</v>
      </c>
      <c r="H30" s="7" t="s">
        <v>196</v>
      </c>
    </row>
    <row r="31" spans="1:8">
      <c r="A31" s="6" t="s">
        <v>207</v>
      </c>
      <c r="B31" s="1" t="s">
        <v>94</v>
      </c>
      <c r="C31" s="1" t="s">
        <v>197</v>
      </c>
      <c r="D31" s="1" t="s">
        <v>191</v>
      </c>
      <c r="E31" s="1" t="s">
        <v>208</v>
      </c>
      <c r="F31" s="1" t="s">
        <v>192</v>
      </c>
      <c r="G31" s="1" t="s">
        <v>186</v>
      </c>
      <c r="H31" s="7" t="s">
        <v>193</v>
      </c>
    </row>
    <row r="32" spans="1:8" ht="28.5">
      <c r="A32" s="6" t="s">
        <v>207</v>
      </c>
      <c r="B32" s="1" t="s">
        <v>95</v>
      </c>
      <c r="C32" s="1" t="s">
        <v>198</v>
      </c>
      <c r="D32" s="1" t="s">
        <v>199</v>
      </c>
      <c r="E32" s="1" t="s">
        <v>208</v>
      </c>
      <c r="F32" s="1" t="s">
        <v>185</v>
      </c>
      <c r="G32" s="1" t="s">
        <v>195</v>
      </c>
      <c r="H32" s="7" t="s">
        <v>196</v>
      </c>
    </row>
    <row r="33" spans="1:8" ht="28.5">
      <c r="A33" s="6" t="s">
        <v>207</v>
      </c>
      <c r="B33" s="1" t="s">
        <v>95</v>
      </c>
      <c r="C33" s="1" t="s">
        <v>200</v>
      </c>
      <c r="D33" s="1" t="s">
        <v>184</v>
      </c>
      <c r="E33" s="1" t="s">
        <v>208</v>
      </c>
      <c r="F33" s="1" t="s">
        <v>185</v>
      </c>
      <c r="G33" s="1" t="s">
        <v>195</v>
      </c>
      <c r="H33" s="7" t="s">
        <v>196</v>
      </c>
    </row>
    <row r="34" spans="1:8" ht="28.5">
      <c r="A34" s="6" t="s">
        <v>207</v>
      </c>
      <c r="B34" s="1" t="s">
        <v>95</v>
      </c>
      <c r="C34" s="1" t="s">
        <v>200</v>
      </c>
      <c r="D34" s="1" t="s">
        <v>188</v>
      </c>
      <c r="E34" s="1" t="s">
        <v>208</v>
      </c>
      <c r="F34" s="1" t="s">
        <v>185</v>
      </c>
      <c r="G34" s="1" t="s">
        <v>195</v>
      </c>
      <c r="H34" s="7" t="s">
        <v>196</v>
      </c>
    </row>
    <row r="35" spans="1:8" ht="28.5">
      <c r="A35" s="6" t="s">
        <v>207</v>
      </c>
      <c r="B35" s="1" t="s">
        <v>95</v>
      </c>
      <c r="C35" s="1" t="s">
        <v>201</v>
      </c>
      <c r="D35" s="1" t="s">
        <v>202</v>
      </c>
      <c r="E35" s="1" t="s">
        <v>208</v>
      </c>
      <c r="F35" s="1" t="s">
        <v>192</v>
      </c>
      <c r="G35" s="1" t="s">
        <v>186</v>
      </c>
      <c r="H35" s="7"/>
    </row>
    <row r="36" spans="1:8" ht="28.5">
      <c r="A36" s="6" t="s">
        <v>207</v>
      </c>
      <c r="B36" s="1" t="s">
        <v>95</v>
      </c>
      <c r="C36" s="1" t="s">
        <v>203</v>
      </c>
      <c r="D36" s="1" t="s">
        <v>182</v>
      </c>
      <c r="E36" s="1" t="s">
        <v>208</v>
      </c>
      <c r="F36" s="1" t="s">
        <v>185</v>
      </c>
      <c r="G36" s="1" t="s">
        <v>195</v>
      </c>
      <c r="H36" s="7" t="s">
        <v>196</v>
      </c>
    </row>
    <row r="37" spans="1:8">
      <c r="A37" s="6" t="s">
        <v>207</v>
      </c>
      <c r="B37" s="1" t="s">
        <v>98</v>
      </c>
      <c r="C37" s="1" t="s">
        <v>198</v>
      </c>
      <c r="D37" s="1" t="s">
        <v>199</v>
      </c>
      <c r="E37" s="1" t="s">
        <v>204</v>
      </c>
      <c r="F37" s="1" t="s">
        <v>185</v>
      </c>
      <c r="G37" s="1" t="s">
        <v>195</v>
      </c>
      <c r="H37" s="7" t="s">
        <v>196</v>
      </c>
    </row>
    <row r="38" spans="1:8">
      <c r="A38" s="6" t="s">
        <v>207</v>
      </c>
      <c r="B38" s="1" t="s">
        <v>98</v>
      </c>
      <c r="C38" s="1" t="s">
        <v>200</v>
      </c>
      <c r="D38" s="1" t="s">
        <v>184</v>
      </c>
      <c r="E38" s="1" t="s">
        <v>208</v>
      </c>
      <c r="F38" s="1" t="s">
        <v>185</v>
      </c>
      <c r="G38" s="1" t="s">
        <v>195</v>
      </c>
      <c r="H38" s="7" t="s">
        <v>196</v>
      </c>
    </row>
    <row r="39" spans="1:8">
      <c r="A39" s="6" t="s">
        <v>207</v>
      </c>
      <c r="B39" s="1" t="s">
        <v>98</v>
      </c>
      <c r="C39" s="1" t="s">
        <v>200</v>
      </c>
      <c r="D39" s="1" t="s">
        <v>188</v>
      </c>
      <c r="E39" s="1" t="s">
        <v>189</v>
      </c>
      <c r="F39" s="1" t="s">
        <v>185</v>
      </c>
      <c r="G39" s="1" t="s">
        <v>195</v>
      </c>
      <c r="H39" s="7" t="s">
        <v>196</v>
      </c>
    </row>
    <row r="40" spans="1:8">
      <c r="A40" s="6" t="s">
        <v>207</v>
      </c>
      <c r="B40" s="1" t="s">
        <v>98</v>
      </c>
      <c r="C40" s="1" t="s">
        <v>201</v>
      </c>
      <c r="D40" s="1" t="s">
        <v>202</v>
      </c>
      <c r="E40" s="1" t="s">
        <v>189</v>
      </c>
      <c r="F40" s="1" t="s">
        <v>192</v>
      </c>
      <c r="G40" s="1" t="s">
        <v>186</v>
      </c>
      <c r="H40" s="7"/>
    </row>
    <row r="41" spans="1:8">
      <c r="A41" s="6" t="s">
        <v>207</v>
      </c>
      <c r="B41" s="1" t="s">
        <v>98</v>
      </c>
      <c r="C41" s="1" t="s">
        <v>203</v>
      </c>
      <c r="D41" s="1" t="s">
        <v>182</v>
      </c>
      <c r="E41" s="1" t="s">
        <v>204</v>
      </c>
      <c r="F41" s="1" t="s">
        <v>185</v>
      </c>
      <c r="G41" s="1" t="s">
        <v>195</v>
      </c>
      <c r="H41" s="7" t="s">
        <v>196</v>
      </c>
    </row>
    <row r="42" spans="1:8">
      <c r="A42" s="6" t="s">
        <v>207</v>
      </c>
      <c r="B42" s="1" t="s">
        <v>99</v>
      </c>
      <c r="C42" s="1" t="s">
        <v>205</v>
      </c>
      <c r="D42" s="1" t="s">
        <v>206</v>
      </c>
      <c r="E42" s="1" t="s">
        <v>208</v>
      </c>
      <c r="F42" s="1" t="s">
        <v>185</v>
      </c>
      <c r="G42" s="1" t="s">
        <v>195</v>
      </c>
      <c r="H42" s="7" t="s">
        <v>196</v>
      </c>
    </row>
    <row r="43" spans="1:8">
      <c r="A43" s="6" t="s">
        <v>207</v>
      </c>
      <c r="B43" s="1" t="s">
        <v>99</v>
      </c>
      <c r="C43" s="1" t="s">
        <v>205</v>
      </c>
      <c r="D43" s="1" t="s">
        <v>188</v>
      </c>
      <c r="E43" s="1" t="s">
        <v>208</v>
      </c>
      <c r="F43" s="1" t="s">
        <v>185</v>
      </c>
      <c r="G43" s="1" t="s">
        <v>195</v>
      </c>
      <c r="H43" s="7" t="s">
        <v>196</v>
      </c>
    </row>
    <row r="44" spans="1:8">
      <c r="A44" s="6" t="s">
        <v>207</v>
      </c>
      <c r="B44" s="1" t="s">
        <v>102</v>
      </c>
      <c r="C44" s="1" t="s">
        <v>205</v>
      </c>
      <c r="D44" s="1" t="s">
        <v>206</v>
      </c>
      <c r="E44" s="1" t="s">
        <v>208</v>
      </c>
      <c r="F44" s="1" t="s">
        <v>185</v>
      </c>
      <c r="G44" s="1" t="s">
        <v>195</v>
      </c>
      <c r="H44" s="7" t="s">
        <v>196</v>
      </c>
    </row>
    <row r="45" spans="1:8">
      <c r="A45" s="8" t="s">
        <v>207</v>
      </c>
      <c r="B45" s="9" t="s">
        <v>102</v>
      </c>
      <c r="C45" s="9" t="s">
        <v>205</v>
      </c>
      <c r="D45" s="9" t="s">
        <v>188</v>
      </c>
      <c r="E45" s="9" t="s">
        <v>189</v>
      </c>
      <c r="F45" s="9" t="s">
        <v>185</v>
      </c>
      <c r="G45" s="9" t="s">
        <v>195</v>
      </c>
      <c r="H45" s="10" t="s">
        <v>196</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README</vt:lpstr>
      <vt:lpstr>Policy Matrix</vt:lpstr>
      <vt:lpstr>Open Decisions</vt:lpstr>
      <vt:lpstr>Legend</vt:lpstr>
      <vt:lpstr>Legacy 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성환 정</cp:lastModifiedBy>
  <dcterms:modified xsi:type="dcterms:W3CDTF">2026-08-03T14:20:41Z</dcterms:modified>
</cp:coreProperties>
</file>
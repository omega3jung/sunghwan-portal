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itHub\sunghwan-portal\docs\ko\03-domain\service-desk\ticket\reference\"/>
    </mc:Choice>
  </mc:AlternateContent>
  <xr:revisionPtr revIDLastSave="0" documentId="13_ncr:1_{3AF5C362-D18B-4962-AA6E-50F40C93DA75}" xr6:coauthVersionLast="47" xr6:coauthVersionMax="47" xr10:uidLastSave="{00000000-0000-0000-0000-000000000000}"/>
  <bookViews>
    <workbookView xWindow="5610" yWindow="3135" windowWidth="21120" windowHeight="14730" xr2:uid="{00000000-000D-0000-FFFF-FFFF00000000}"/>
  </bookViews>
  <sheets>
    <sheet name="README" sheetId="1" r:id="rId1"/>
    <sheet name="Workflow Matrix" sheetId="2" r:id="rId2"/>
    <sheet name="Common Rules" sheetId="3" r:id="rId3"/>
    <sheet name="Legend" sheetId="4" r:id="rId4"/>
    <sheet name="Legacy 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<sst xmlns="http://schemas.openxmlformats.org/spreadsheetml/2006/main" count="797" uniqueCount="359">
  <si>
    <t>TICKET_ACTION</t>
  </si>
  <si>
    <t>ACTION_SUBRESOURCE</t>
  </si>
  <si>
    <t>TICKET_COMMAND</t>
  </si>
  <si>
    <t>WORK_SESSION_COMMAND</t>
  </si>
  <si>
    <t>SYSTEM_OPERATION</t>
  </si>
  <si>
    <t>APPROVE</t>
  </si>
  <si>
    <t>CURRENT_APPROVER_OR_ADMIN</t>
  </si>
  <si>
    <t>TICKET_ACCESS</t>
  </si>
  <si>
    <t>IMMUTABLE</t>
  </si>
  <si>
    <t>Approval</t>
  </si>
  <si>
    <t>NEXT_APPROVAL_STEP_EXISTS</t>
  </si>
  <si>
    <t>ACTION_ROW</t>
  </si>
  <si>
    <t>APPROVAL_APPROVED; APPROVAL_REQUESTED</t>
  </si>
  <si>
    <t>ACTION_NO_REQUIRED</t>
  </si>
  <si>
    <t>CURRENT</t>
  </si>
  <si>
    <t>FINAL_APPROVAL_STEP</t>
  </si>
  <si>
    <t>APPROVAL_APPROVED; ASSIGNMENT_RESOLVED</t>
  </si>
  <si>
    <t>DECLINE</t>
  </si>
  <si>
    <t>DEFAULT</t>
  </si>
  <si>
    <t>APPROVAL_DECLINED</t>
  </si>
  <si>
    <t>COMMENT_CREATE</t>
  </si>
  <si>
    <t>USER_WITH_TICKET_ACCESS</t>
  </si>
  <si>
    <t>AUTHOR_SOFT_DELETE_ONLY</t>
  </si>
  <si>
    <t>Approval/Declined/Assigned/Working/Pending/Rejected/Resolved</t>
  </si>
  <si>
    <t>NON_ADMIN</t>
  </si>
  <si>
    <t>COMMENT_CREATED</t>
  </si>
  <si>
    <t>ADMIN</t>
  </si>
  <si>
    <t>COMMENT_SOFT_DELETE</t>
  </si>
  <si>
    <t>ORIGINAL_AUTHOR</t>
  </si>
  <si>
    <t>SOFT_DELETE</t>
  </si>
  <si>
    <t>NOT_CLOSED</t>
  </si>
  <si>
    <t>NO_NEW_ACTION_ROW</t>
  </si>
  <si>
    <t>COMMENT_DELETED</t>
  </si>
  <si>
    <t>EXISTING_ACTION_NO</t>
  </si>
  <si>
    <t>NOTE_CREATE</t>
  </si>
  <si>
    <t>NOTE_CREATED</t>
  </si>
  <si>
    <t>NOTE_SOFT_DELETE</t>
  </si>
  <si>
    <t>NOTE_DELETED</t>
  </si>
  <si>
    <t>ASSIGN</t>
  </si>
  <si>
    <t>CURRENT_WORK_ASSIGNEE_OR_ADMIN</t>
  </si>
  <si>
    <t>Assigned/Working/Pending</t>
  </si>
  <si>
    <t>WORK_PHASE</t>
  </si>
  <si>
    <t>ASSIGNMENT_UPDATED</t>
  </si>
  <si>
    <t>APPROVAL_PHASE</t>
  </si>
  <si>
    <t>ASSIGN_SELF</t>
  </si>
  <si>
    <t>CURRENT_WORK_ASSIGNEE</t>
  </si>
  <si>
    <t>AT_LEAST_TWO_ASSIGNEES</t>
  </si>
  <si>
    <t>ADJUST</t>
  </si>
  <si>
    <t>WORK_ASSIGNEE</t>
  </si>
  <si>
    <t>PLANNING_UPDATED</t>
  </si>
  <si>
    <t>Approval/Assigned/Working/Pending</t>
  </si>
  <si>
    <t>ACTIVE_WORKFLOW</t>
  </si>
  <si>
    <t>Resolved/Closed</t>
  </si>
  <si>
    <t>TERMINAL_OR_POST_WORK</t>
  </si>
  <si>
    <t>REJECT</t>
  </si>
  <si>
    <t>TICKET_REJECTED</t>
  </si>
  <si>
    <t>MERGE</t>
  </si>
  <si>
    <t>Assigned/Working/Pending/Resolved</t>
  </si>
  <si>
    <t>SAME_SCOPE</t>
  </si>
  <si>
    <t>TICKET_MERGED</t>
  </si>
  <si>
    <t>SAME_TENANT_INTERNAL_TO_PORTAL</t>
  </si>
  <si>
    <t>Approval/Declined/Assigned/Working/Pending/Rejected/Resolved/Closed</t>
  </si>
  <si>
    <t>ADMIN_ALLOWED_SOURCE</t>
  </si>
  <si>
    <t>REOPEN</t>
  </si>
  <si>
    <t>REQUESTER_OR_ADMIN</t>
  </si>
  <si>
    <t>Resolved</t>
  </si>
  <si>
    <t>TICKET_REOPENED</t>
  </si>
  <si>
    <t>RESUBMIT</t>
  </si>
  <si>
    <t>REQUESTER</t>
  </si>
  <si>
    <t>Declined/Rejected</t>
  </si>
  <si>
    <t>APPROVAL_REQUIRED</t>
  </si>
  <si>
    <t>TICKET_SUBMITTED; APPROVAL_REQUESTED</t>
  </si>
  <si>
    <t>NO_APPROVAL_REQUIRED</t>
  </si>
  <si>
    <t>TICKET_SUBMITTED; ASSIGNMENT_RESOLVED</t>
  </si>
  <si>
    <t>CANCEL</t>
  </si>
  <si>
    <t>Approval/Declined/Assigned/Working/Pending/Rejected</t>
  </si>
  <si>
    <t>TICKET_CANCELED</t>
  </si>
  <si>
    <t>START_WORK</t>
  </si>
  <si>
    <t>NO_ACTION_ROW</t>
  </si>
  <si>
    <t>Assigned</t>
  </si>
  <si>
    <t>EXPLICIT_COMMAND</t>
  </si>
  <si>
    <t>STATUS_UPDATED</t>
  </si>
  <si>
    <t>ACTION_NO_NULL</t>
  </si>
  <si>
    <t>WORK_SESSION_CREATE</t>
  </si>
  <si>
    <t>WORK_SESSION_ROW</t>
  </si>
  <si>
    <t>CURRENT_ASSIGNEE</t>
  </si>
  <si>
    <t>PREVIOUS_WORK_ASSIGNEE</t>
  </si>
  <si>
    <t>PREVIOUS_ASSIGNEE_EVIDENCE_ONLY</t>
  </si>
  <si>
    <t>AUTO_CLOSE</t>
  </si>
  <si>
    <t>SYSTEM_AUTO</t>
  </si>
  <si>
    <t>N/A</t>
  </si>
  <si>
    <t>RESOLUTION_HISTORY_OLDER_THAN_7_DAYS</t>
  </si>
  <si>
    <t>RESOLUTION_CLOSE</t>
  </si>
  <si>
    <t>ACT-001</t>
  </si>
  <si>
    <t>ACT-002</t>
  </si>
  <si>
    <t>ACT-003</t>
  </si>
  <si>
    <t>ACT-004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</si>
  <si>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</si>
  <si>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</si>
  <si>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</si>
  <si>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</si>
  <si>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</si>
  <si>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</si>
  <si>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</si>
  <si>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</si>
  <si>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</si>
  <si>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ACT-014</t>
  </si>
  <si>
    <t>users with ticket access</t>
  </si>
  <si>
    <t>startWork (command; no Ticket Action row)</t>
  </si>
  <si>
    <t>current work assignee</t>
  </si>
  <si>
    <t>No work-session row is created. GET/read never starts work.</t>
  </si>
  <si>
    <t>STATUS_UPDATED with actionNo = null</t>
  </si>
  <si>
    <t>workSession create (not a Ticket Action)</t>
  </si>
  <si>
    <t>current or previous work assignee</t>
  </si>
  <si>
    <t>current assignee may transition status; previous worker may only add evidence</t>
  </si>
  <si>
    <t>Keep or apply an allowed work-status transition</t>
  </si>
  <si>
    <t>Add positive tracked minutes; current route surface is list/create only</t>
  </si>
  <si>
    <t>STATUS_UPDATED with actionNo = null when status changes</t>
  </si>
  <si>
    <t>Common rules</t>
  </si>
  <si>
    <t>1. No ticket action can be executed while the ticket is in Draft status.</t>
  </si>
  <si>
    <t>2. "all" does not mean every system user; it means users who have read permission for the ticket.</t>
  </si>
  <si>
    <t>3. COMMENT and NOTE can be created and soft-deleted by their author where allowed. No update route is implemented. Operational actions cannot be edited or deleted after creation.</t>
  </si>
  <si>
    <t>4. Comments and notes created before closure remain visible in Activity. When the ticket is Closed, creating new comments/notes and editing or deleting existing items are not allowed.</t>
  </si>
  <si>
    <t>5. Assigned changes to Working only through the explicit start-work command or a valid work-session create transition. GET/detail/list/read requests never mutate status.</t>
  </si>
  <si>
    <t>6. Work-session create may apply Assigned -&gt; Working, Working -&gt; Pending/Resolved, or Pending -&gt; Working/Resolved. Only the current work assignee may change status; a previous worker may add evidence without changing status.</t>
  </si>
  <si>
    <t>7. A Resolved ticket is automatically changed to Closed 7 days after the resolution History event timestamp.</t>
  </si>
  <si>
    <t>8. In REMOTE, an operational command processes ticket, Ticket Action, Ticket History, and required work-session changes in one server transaction.</t>
  </si>
  <si>
    <t>In LOCAL, the command stages validation and observable changes before committing process-memory updates as one unit.</t>
  </si>
  <si>
    <t>9. Ticket Action records user intent or command content; Ticket History is immutable evidence of the executed effect. One command may append multiple history rows.</t>
  </si>
  <si>
    <t>10. System operations and non-Action commands can append Ticket History with actionNo = null.</t>
  </si>
  <si>
    <t>11. The current Ticket Work Session route surface supports list/create. Detail, update, delete, and timer start/finish/switch client methods have no matching current routes.</t>
  </si>
  <si>
    <t>REVIEW_REQUIRED</t>
  </si>
  <si>
    <t>REVIEW_REQUIRED</t>
    <phoneticPr fontId="5" type="noConversion"/>
  </si>
  <si>
    <t>ACT-015</t>
  </si>
  <si>
    <t>Action</t>
    <phoneticPr fontId="5" type="noConversion"/>
  </si>
  <si>
    <t>Actor</t>
    <phoneticPr fontId="5" type="noConversion"/>
  </si>
  <si>
    <t>Actor relation</t>
    <phoneticPr fontId="5" type="noConversion"/>
  </si>
  <si>
    <t>Allowed status of ticket</t>
    <phoneticPr fontId="5" type="noConversion"/>
  </si>
  <si>
    <t>Ticket effect</t>
    <phoneticPr fontId="5" type="noConversion"/>
  </si>
  <si>
    <t>History</t>
    <phoneticPr fontId="5" type="noConversion"/>
  </si>
  <si>
    <t>열1</t>
    <phoneticPr fontId="5" type="noConversion"/>
  </si>
  <si>
    <t>열2</t>
    <phoneticPr fontId="5" type="noConversion"/>
  </si>
  <si>
    <t>read</t>
    <phoneticPr fontId="5" type="noConversion"/>
  </si>
  <si>
    <t>write</t>
    <phoneticPr fontId="5" type="noConversion"/>
  </si>
  <si>
    <t>edit / remove(soft delete)</t>
    <phoneticPr fontId="5" type="noConversion"/>
  </si>
  <si>
    <t>열3</t>
    <phoneticPr fontId="5" type="noConversion"/>
  </si>
  <si>
    <t>other</t>
    <phoneticPr fontId="5" type="noConversion"/>
  </si>
  <si>
    <t>열4</t>
    <phoneticPr fontId="5" type="noConversion"/>
  </si>
  <si>
    <t>approve</t>
    <phoneticPr fontId="5" type="noConversion"/>
  </si>
  <si>
    <t>assignee/admin</t>
    <phoneticPr fontId="5" type="noConversion"/>
  </si>
  <si>
    <t>all</t>
    <phoneticPr fontId="5" type="noConversion"/>
  </si>
  <si>
    <t>불가능</t>
    <phoneticPr fontId="5" type="noConversion"/>
  </si>
  <si>
    <t>Approval</t>
    <phoneticPr fontId="5" type="noConversion"/>
  </si>
  <si>
    <t>next approval 있음</t>
    <phoneticPr fontId="5" type="noConversion"/>
  </si>
  <si>
    <t>Approval 유지</t>
    <phoneticPr fontId="5" type="noConversion"/>
  </si>
  <si>
    <t>assignee: next approval의 assignee로 변경</t>
    <phoneticPr fontId="5" type="noConversion"/>
  </si>
  <si>
    <t>APPROVAL_APPROVED and APPROVAL_REQUESTED</t>
    <phoneticPr fontId="5" type="noConversion"/>
  </si>
  <si>
    <t>next approval 없음</t>
    <phoneticPr fontId="5" type="noConversion"/>
  </si>
  <si>
    <t>Assigned로 변경</t>
    <phoneticPr fontId="5" type="noConversion"/>
  </si>
  <si>
    <t>assignee: category의 assignee로 변경</t>
    <phoneticPr fontId="5" type="noConversion"/>
  </si>
  <si>
    <t>APPROVAL_APPROVED and ASSIGNMENT_RESOLVED</t>
    <phoneticPr fontId="5" type="noConversion"/>
  </si>
  <si>
    <t>decline</t>
    <phoneticPr fontId="5" type="noConversion"/>
  </si>
  <si>
    <t>Declined</t>
    <phoneticPr fontId="5" type="noConversion"/>
  </si>
  <si>
    <t>history: resolution reason declined</t>
    <phoneticPr fontId="5" type="noConversion"/>
  </si>
  <si>
    <t>APPROVAL_DECLINED</t>
    <phoneticPr fontId="5" type="noConversion"/>
  </si>
  <si>
    <t>comment</t>
    <phoneticPr fontId="5" type="noConversion"/>
  </si>
  <si>
    <t>all(admin 제외)</t>
    <phoneticPr fontId="5" type="noConversion"/>
  </si>
  <si>
    <t>actived all</t>
    <phoneticPr fontId="5" type="noConversion"/>
  </si>
  <si>
    <t>writer only (closed ticket은 불가)</t>
    <phoneticPr fontId="5" type="noConversion"/>
  </si>
  <si>
    <t>현재 status 유지</t>
    <phoneticPr fontId="5" type="noConversion"/>
  </si>
  <si>
    <t>없음</t>
    <phoneticPr fontId="5" type="noConversion"/>
  </si>
  <si>
    <t>COMMENT_CREATED or COMMENT_UPDATED or COMMENT_DELETED</t>
    <phoneticPr fontId="5" type="noConversion"/>
  </si>
  <si>
    <t>admin</t>
    <phoneticPr fontId="5" type="noConversion"/>
  </si>
  <si>
    <t>note</t>
    <phoneticPr fontId="5" type="noConversion"/>
  </si>
  <si>
    <t>actived, writer/assignee only visible</t>
    <phoneticPr fontId="5" type="noConversion"/>
  </si>
  <si>
    <t>Closed 제외</t>
    <phoneticPr fontId="5" type="noConversion"/>
  </si>
  <si>
    <t>NOTE_CREATED or NOTE_UPDATED or NOTE_DELETED</t>
    <phoneticPr fontId="5" type="noConversion"/>
  </si>
  <si>
    <t>assign</t>
    <phoneticPr fontId="5" type="noConversion"/>
  </si>
  <si>
    <t>assignee</t>
    <phoneticPr fontId="5" type="noConversion"/>
  </si>
  <si>
    <t>Assigned/Working/Pending</t>
    <phoneticPr fontId="5" type="noConversion"/>
  </si>
  <si>
    <t>Assigned, Working는 유지. Pending은 Working으로 변경.</t>
    <phoneticPr fontId="5" type="noConversion"/>
  </si>
  <si>
    <t>assignee: 선택된 assigne로 변경</t>
    <phoneticPr fontId="5" type="noConversion"/>
  </si>
  <si>
    <t>ASSIGNMENT_UPDATED</t>
    <phoneticPr fontId="5" type="noConversion"/>
  </si>
  <si>
    <t>Approval로 유지</t>
    <phoneticPr fontId="5" type="noConversion"/>
  </si>
  <si>
    <t>assignee: 선택된 approver로 변경</t>
    <phoneticPr fontId="5" type="noConversion"/>
  </si>
  <si>
    <t>assignSelf</t>
    <phoneticPr fontId="5" type="noConversion"/>
  </si>
  <si>
    <t>assignee(assignee가 2명 이상일 때만 가능)</t>
    <phoneticPr fontId="5" type="noConversion"/>
  </si>
  <si>
    <t>assignee: actor로 변경(n명에서 1명으로 변경)</t>
    <phoneticPr fontId="5" type="noConversion"/>
  </si>
  <si>
    <t>adjust</t>
    <phoneticPr fontId="5" type="noConversion"/>
  </si>
  <si>
    <t>priority/risk/dueAt 변경</t>
    <phoneticPr fontId="5" type="noConversion"/>
  </si>
  <si>
    <t>PLANNING_UPDATED</t>
    <phoneticPr fontId="5" type="noConversion"/>
  </si>
  <si>
    <t>Approval/Assigned/Working/Pending</t>
    <phoneticPr fontId="5" type="noConversion"/>
  </si>
  <si>
    <t>Resolved/Closed</t>
    <phoneticPr fontId="5" type="noConversion"/>
  </si>
  <si>
    <t>priority/risk 변경</t>
    <phoneticPr fontId="5" type="noConversion"/>
  </si>
  <si>
    <t>reject</t>
    <phoneticPr fontId="5" type="noConversion"/>
  </si>
  <si>
    <t>Rejected로 변경</t>
    <phoneticPr fontId="5" type="noConversion"/>
  </si>
  <si>
    <t>history: resolution reason rejected</t>
    <phoneticPr fontId="5" type="noConversion"/>
  </si>
  <si>
    <t>TICKET_REJECTED</t>
    <phoneticPr fontId="5" type="noConversion"/>
  </si>
  <si>
    <t>merge</t>
    <phoneticPr fontId="5" type="noConversion"/>
  </si>
  <si>
    <t>Assigned/Working/Pending/Resolved</t>
    <phoneticPr fontId="5" type="noConversion"/>
  </si>
  <si>
    <t>Closed로 변경</t>
    <phoneticPr fontId="5" type="noConversion"/>
  </si>
  <si>
    <t>history: resolution reason merged</t>
    <phoneticPr fontId="5" type="noConversion"/>
  </si>
  <si>
    <t>TICKET_MERGED</t>
    <phoneticPr fontId="5" type="noConversion"/>
  </si>
  <si>
    <t>all (관리 차원에서 Closed ticket도 merge를 허용)</t>
    <phoneticPr fontId="5" type="noConversion"/>
  </si>
  <si>
    <t>reopen</t>
    <phoneticPr fontId="5" type="noConversion"/>
  </si>
  <si>
    <t>requester/admin</t>
    <phoneticPr fontId="5" type="noConversion"/>
  </si>
  <si>
    <t>Resolved</t>
    <phoneticPr fontId="5" type="noConversion"/>
  </si>
  <si>
    <t>Working로 변경</t>
    <phoneticPr fontId="5" type="noConversion"/>
  </si>
  <si>
    <t>TICKET_REOPENED</t>
    <phoneticPr fontId="5" type="noConversion"/>
  </si>
  <si>
    <t>resubmit</t>
    <phoneticPr fontId="5" type="noConversion"/>
  </si>
  <si>
    <t>requester</t>
    <phoneticPr fontId="5" type="noConversion"/>
  </si>
  <si>
    <t>Declined/Rejected</t>
    <phoneticPr fontId="5" type="noConversion"/>
  </si>
  <si>
    <t>Approval로 변경</t>
    <phoneticPr fontId="5" type="noConversion"/>
  </si>
  <si>
    <t>TICKET_SUBMITTED and APPROVAL_REQUESTED</t>
    <phoneticPr fontId="5" type="noConversion"/>
  </si>
  <si>
    <t>TICKET_SUBMITTED and ASSIGNMENT_RESOLVED</t>
    <phoneticPr fontId="5" type="noConversion"/>
  </si>
  <si>
    <t>cancel</t>
    <phoneticPr fontId="5" type="noConversion"/>
  </si>
  <si>
    <t>Approval/Declined/Assigned/Working/Pending/Rejected</t>
    <phoneticPr fontId="5" type="noConversion"/>
  </si>
  <si>
    <t>history: resolution reason canceled</t>
    <phoneticPr fontId="5" type="noConversion"/>
  </si>
  <si>
    <t>TICKET_CANCELED</t>
    <phoneticPr fontId="5" type="noConversion"/>
  </si>
  <si>
    <t>서비스 데스크 티켓 액션 워크플로 매트릭스</t>
    <phoneticPr fontId="5" type="noConversion"/>
  </si>
  <si>
    <t>기존 단일 시트 원본을 재구성했습니다. 이 워크북은 티켓 액션, 액션이 아닌 명령, 작업 세션, 시스템 작업, 불변 이력 연결을 구분합니다.</t>
    <phoneticPr fontId="5" type="noConversion"/>
  </si>
  <si>
    <t>작업 종류</t>
    <phoneticPr fontId="5" type="noConversion"/>
  </si>
  <si>
    <t>매트릭스 행 수</t>
    <phoneticPr fontId="5" type="noConversion"/>
  </si>
  <si>
    <t>워크북 사용 방법</t>
    <phoneticPr fontId="5" type="noConversion"/>
  </si>
  <si>
    <t>전체 매트릭스 행</t>
    <phoneticPr fontId="5" type="noConversion"/>
  </si>
  <si>
    <t>핵심 워크플로 경계</t>
    <phoneticPr fontId="5" type="noConversion"/>
  </si>
  <si>
    <t>작업</t>
    <phoneticPr fontId="5" type="noConversion"/>
  </si>
  <si>
    <t>행위자 컨텍스트</t>
    <phoneticPr fontId="5" type="noConversion"/>
  </si>
  <si>
    <t>읽기 범위</t>
    <phoneticPr fontId="5" type="noConversion"/>
  </si>
  <si>
    <t>실행 capability</t>
    <phoneticPr fontId="5" type="noConversion"/>
  </si>
  <si>
    <t>변경 정책</t>
    <phoneticPr fontId="5" type="noConversion"/>
  </si>
  <si>
    <t>허용 상태</t>
    <phoneticPr fontId="5" type="noConversion"/>
  </si>
  <si>
    <t>조건</t>
    <phoneticPr fontId="5" type="noConversion"/>
  </si>
  <si>
    <t>티켓 상태 효과</t>
    <phoneticPr fontId="5" type="noConversion"/>
  </si>
  <si>
    <t>라우팅 / 데이터 효과</t>
    <phoneticPr fontId="5" type="noConversion"/>
  </si>
  <si>
    <t>액션 영속화</t>
    <phoneticPr fontId="5" type="noConversion"/>
  </si>
  <si>
    <t>이력 이벤트</t>
    <phoneticPr fontId="5" type="noConversion"/>
  </si>
  <si>
    <t>이력 연결</t>
    <phoneticPr fontId="5" type="noConversion"/>
  </si>
  <si>
    <t>상태</t>
    <phoneticPr fontId="5" type="noConversion"/>
  </si>
  <si>
    <t>출처 문서</t>
    <phoneticPr fontId="5" type="noConversion"/>
  </si>
  <si>
    <t>비고</t>
    <phoneticPr fontId="5" type="noConversion"/>
  </si>
  <si>
    <t>현재 승인자를 다음 승인 단계 담당자로 교체합니다.</t>
    <phoneticPr fontId="5" type="noConversion"/>
  </si>
  <si>
    <t>docs/ko/03-domain/service-desk/ticket/reference/ticket-operation-rules.md; docs/ko/03-domain/service-desk/ticket/strategy/approval-system.md; docs/ko/03-domain/service-desk/ticket/ticket-history.md</t>
    <phoneticPr fontId="5" type="noConversion"/>
  </si>
  <si>
    <t>하나의 명령이 승인 결과와 다음 승인 요청을 별도의 불변 이력 이벤트로 생성합니다.</t>
    <phoneticPr fontId="5" type="noConversion"/>
  </si>
  <si>
    <t>승인 단계를 종료하고 담당자를 카테고리에서 해석한 작업 담당자로 교체합니다.</t>
    <phoneticPr fontId="5" type="noConversion"/>
  </si>
  <si>
    <t>승인 완료는 이벤트이며 저장되는 Approved 상태가 아닙니다.</t>
    <phoneticPr fontId="5" type="noConversion"/>
  </si>
  <si>
    <t>Declined로 변경</t>
    <phoneticPr fontId="5" type="noConversion"/>
  </si>
  <si>
    <t>approvalStepId와 모든 담당자 사용자명을 비웁니다. Closed 티켓의 해결 사유는 설정하지 않습니다.</t>
    <phoneticPr fontId="5" type="noConversion"/>
  </si>
  <si>
    <t>Decline은 승인 라우팅을 종료하지만 티켓을 닫지는 않습니다.</t>
    <phoneticPr fontId="5" type="noConversion"/>
  </si>
  <si>
    <t>현재 상태 유지</t>
    <phoneticPr fontId="5" type="noConversion"/>
  </si>
  <si>
    <t>공유 커뮤니케이션 내용을 생성합니다.</t>
    <phoneticPr fontId="5" type="noConversion"/>
  </si>
  <si>
    <t>docs/ko/03-domain/service-desk/ticket/reference/ticket-operation-rules.md; docs/ko/03-domain/service-desk/ticket/ticket-action.md; docs/ko/03-domain/service-desk/ticket/strategy/action-strategy.md</t>
    <phoneticPr fontId="5" type="noConversion"/>
  </si>
  <si>
    <t>기존 댓글은 종료 후에도 표시되지만 Closed에서는 새 댓글을 만들 수 없습니다.</t>
    <phoneticPr fontId="5" type="noConversion"/>
  </si>
  <si>
    <t>Admin이 생성해도 행을 편집할 수 없으며 운영 감사 경계는 추가 중심으로 유지됩니다.</t>
    <phoneticPr fontId="5" type="noConversion"/>
  </si>
  <si>
    <t>기존 댓글 행을 비활성화합니다.</t>
    <phoneticPr fontId="5" type="noConversion"/>
  </si>
  <si>
    <t>현재 경로 표면에는 댓글 수정 동작이 없습니다.</t>
    <phoneticPr fontId="5" type="noConversion"/>
  </si>
  <si>
    <t>노트 내용을 생성하며 기본적으로 외부 알림을 만들지 않습니다.</t>
    <phoneticPr fontId="5" type="noConversion"/>
  </si>
  <si>
    <t>현재 액션 목록은 노트 전용 가시성 필터 없이 티켓 접근 권한을 적용합니다.</t>
    <phoneticPr fontId="5" type="noConversion"/>
  </si>
  <si>
    <t>노트 수정 경로는 구현되지 않았으며 Admin 생성도 별도 가시성 경계를 추가하지 않습니다.</t>
    <phoneticPr fontId="5" type="noConversion"/>
  </si>
  <si>
    <t>기존 노트 행을 비활성화합니다.</t>
    <phoneticPr fontId="5" type="noConversion"/>
  </si>
  <si>
    <t>운영 액션은 이 변경 경로를 사용할 수 없습니다.</t>
    <phoneticPr fontId="5" type="noConversion"/>
  </si>
  <si>
    <t>Assigned/Working은 유지하고 Pending은 Working으로 변경</t>
    <phoneticPr fontId="5" type="noConversion"/>
  </si>
  <si>
    <t>현재 작업 담당자를 제출된 담당자 사용자명으로 교체합니다.</t>
    <phoneticPr fontId="5" type="noConversion"/>
  </si>
  <si>
    <t>docs/ko/03-domain/service-desk/ticket/reference/ticket-operation-rules.md; docs/ko/03-domain/service-desk/ticket/strategy/assignment-policy.md; docs/ko/03-domain/service-desk/ticket/ticket-history.md</t>
    <phoneticPr fontId="5" type="noConversion"/>
  </si>
  <si>
    <t>명령은 행위자, 상태, 비어 있지 않은 사용자명 목록을 검증하지만 단계, 카테고리, 할당 규칙에 따른 후보 적격성을 재검증하지 않습니다. 직원 참조 범위 매트릭스를 참고합니다.</t>
    <phoneticPr fontId="5" type="noConversion"/>
  </si>
  <si>
    <t>현재 승인자를 제출된 담당자 사용자명으로 교체합니다.</t>
    <phoneticPr fontId="5" type="noConversion"/>
  </si>
  <si>
    <t>명령은 행위자, 상태, 비어 있지 않은 사용자명 목록을 검증하지만 카테고리 테넌트 승인자 적격성을 재검증하지 않습니다. 후보 정책은 REVIEW_REQUIRED입니다.</t>
    <phoneticPr fontId="5" type="noConversion"/>
  </si>
  <si>
    <t>여러 현재 작업 담당자를 행위자 한 명으로 교체합니다.</t>
    <phoneticPr fontId="5" type="noConversion"/>
  </si>
  <si>
    <t>현재 작업 할당에 담당자가 두 명 이상일 때만 사용할 수 있습니다.</t>
    <phoneticPr fontId="5" type="noConversion"/>
  </si>
  <si>
    <t>우선순위, 위험 수준, dueAt 중 하나 이상을 변경합니다.</t>
    <phoneticPr fontId="5" type="noConversion"/>
  </si>
  <si>
    <t>실제로 변경된 제출 필드만 이력에 표현해야 합니다.</t>
    <phoneticPr fontId="5" type="noConversion"/>
  </si>
  <si>
    <t>Admin 조정도 불변 이력을 우회하지 않습니다.</t>
    <phoneticPr fontId="5" type="noConversion"/>
  </si>
  <si>
    <t>우선순위와 위험 수준 중 하나 이상을 변경하며 dueAt은 변경하지 않습니다.</t>
    <phoneticPr fontId="5" type="noConversion"/>
  </si>
  <si>
    <t>Resolved/Closed에 문서화된 제한된 필드 집합을 유지합니다.</t>
    <phoneticPr fontId="5" type="noConversion"/>
  </si>
  <si>
    <t>지원되는 경우 관련 실행 중 작업 세션을 종료하고 거절 결과를 기록합니다.</t>
    <phoneticPr fontId="5" type="noConversion"/>
  </si>
  <si>
    <t>Rejected 티켓은 요청자가 다시 제출할 수 있습니다.</t>
    <phoneticPr fontId="5" type="noConversion"/>
  </si>
  <si>
    <t>병합 대상 관계와 closeReason = Merged를 설정합니다.</t>
    <phoneticPr fontId="5" type="noConversion"/>
  </si>
  <si>
    <t>원본과 대상은 같은 테넌트여야 하며 Draft 원본/대상은 거부됩니다.</t>
    <phoneticPr fontId="5" type="noConversion"/>
  </si>
  <si>
    <t>병합 대상 관계와 closeReason = Escalated를 설정합니다.</t>
    <phoneticPr fontId="5" type="noConversion"/>
  </si>
  <si>
    <t>PORTAL -&gt; INTERNAL 및 테넌트 간 병합은 거부됩니다.</t>
    <phoneticPr fontId="5" type="noConversion"/>
  </si>
  <si>
    <t>Closed로 변경하되 이미 Closed인 원본은 Closed 유지</t>
    <phoneticPr fontId="5" type="noConversion"/>
  </si>
  <si>
    <t>같은 범위 규칙에 따라 Merged 또는 Escalated를 적용합니다.</t>
    <phoneticPr fontId="5" type="noConversion"/>
  </si>
  <si>
    <t>Admin도 역방향 범위, 테넌트 간, Draft 병합을 허용하지 않습니다.</t>
    <phoneticPr fontId="5" type="noConversion"/>
  </si>
  <si>
    <t>Working으로 변경</t>
    <phoneticPr fontId="5" type="noConversion"/>
  </si>
  <si>
    <t>기존 작업 담당자가 한 명 이상 있어야 하며 현재 담당자를 유지한 채 활성 작업 상태를 복원합니다.</t>
    <phoneticPr fontId="5" type="noConversion"/>
  </si>
  <si>
    <t>Reopen은 액션과 전환이며 티켓 상태가 아닙니다.</t>
    <phoneticPr fontId="5" type="noConversion"/>
  </si>
  <si>
    <t>첫 적용 가능 승인 단계를 해석하고 담당자를 승인자로 교체합니다.</t>
    <phoneticPr fontId="5" type="noConversion"/>
  </si>
  <si>
    <t>재제출은 초기 라우팅을 다시 실행합니다.</t>
    <phoneticPr fontId="5" type="noConversion"/>
  </si>
  <si>
    <t>카테고리 작업 할당을 해석하고 담당자를 작업자로 교체합니다.</t>
    <phoneticPr fontId="5" type="noConversion"/>
  </si>
  <si>
    <t>유효한 작업자가 없으면 라우팅 실패입니다.</t>
    <phoneticPr fontId="5" type="noConversion"/>
  </si>
  <si>
    <t>취소 종료 사유를 설정하고 지원되는 경우 관련 실행 중 작업 세션을 종료합니다.</t>
    <phoneticPr fontId="5" type="noConversion"/>
  </si>
  <si>
    <t>Cancel은 요청자가 소유하는 워크플로 종료입니다.</t>
    <phoneticPr fontId="5" type="noConversion"/>
  </si>
  <si>
    <t>작업 세션 행을 생성하지 않습니다.</t>
    <phoneticPr fontId="5" type="noConversion"/>
  </si>
  <si>
    <t>docs/ko/03-domain/service-desk/ticket/reference/ticket-operation-rules.md; docs/ko/03-domain/service-desk/ticket/ticket-work-session.md; docs/ko/03-domain/service-desk/ticket/ticket-lifecycle.md</t>
    <phoneticPr fontId="5" type="noConversion"/>
  </si>
  <si>
    <t>GET/detail/list/read 요청은 작업을 시작하지 않습니다.</t>
    <phoneticPr fontId="5" type="noConversion"/>
  </si>
  <si>
    <t>Working은 유지할 수 있고 Assigned/Pending은 허용된 전환이 필요</t>
    <phoneticPr fontId="5" type="noConversion"/>
  </si>
  <si>
    <t>양수 작업 시간과 선택적 노트/시간 범위 증거를 추가합니다.</t>
    <phoneticPr fontId="5" type="noConversion"/>
  </si>
  <si>
    <t>필수 전환: Assigned -&gt; Working, Pending -&gt; Working/Resolved. Working은 유지하거나 Pending/Resolved로 전환할 수 있습니다.</t>
    <phoneticPr fontId="5" type="noConversion"/>
  </si>
  <si>
    <t>과거 작업 증거만 추가하며 티켓 상태를 변경할 수 없습니다.</t>
    <phoneticPr fontId="5" type="noConversion"/>
  </si>
  <si>
    <t>이전 작업자 권한은 현재 소유권이 아니라 할당 이력을 기준으로 합니다.</t>
    <phoneticPr fontId="5" type="noConversion"/>
  </si>
  <si>
    <t>closeReason = Completed를 설정하고 지원되는 경우 관련 실행 중 작업 세션을 종료합니다.</t>
    <phoneticPr fontId="5" type="noConversion"/>
  </si>
  <si>
    <t>docs/ko/03-domain/service-desk/ticket/ticket-history.md; docs/ko/03-domain/service-desk/ticket/ticket-lifecycle.md; docs/ko/03-domain/service-desk/ticket/reference/ticket-operation-rules.md</t>
    <phoneticPr fontId="5" type="noConversion"/>
  </si>
  <si>
    <t>자동 종료는 마지막 티켓 조회나 일반 updatedAt이 아니라 해결 이력 시각을 사용합니다.</t>
    <phoneticPr fontId="5" type="noConversion"/>
  </si>
  <si>
    <t>규칙 ID</t>
    <phoneticPr fontId="5" type="noConversion"/>
  </si>
  <si>
    <t>분류</t>
    <phoneticPr fontId="5" type="noConversion"/>
  </si>
  <si>
    <t>규칙</t>
    <phoneticPr fontId="5" type="noConversion"/>
  </si>
  <si>
    <t>Draft 경계</t>
    <phoneticPr fontId="5" type="noConversion"/>
  </si>
  <si>
    <t>티켓이 Draft 상태일 때는 티켓 액션이나 운영 명령을 실행하지 않습니다.</t>
    <phoneticPr fontId="5" type="noConversion"/>
  </si>
  <si>
    <t>"TICKET_ACCESS"는 이미 티켓 읽기 권한이 있는 사용자를 뜻하며 모든 시스템 사용자를 뜻하지 않습니다.</t>
    <phoneticPr fontId="5" type="noConversion"/>
  </si>
  <si>
    <t>커뮤니케이션 변경 가능성</t>
    <phoneticPr fontId="5" type="noConversion"/>
  </si>
  <si>
    <t>COMMENT와 NOTE는 허용된 경우 생성과 작성자 soft delete를 지원하며 수정 경로는 구현되지 않았습니다.</t>
    <phoneticPr fontId="5" type="noConversion"/>
  </si>
  <si>
    <t>Closed 커뮤니케이션</t>
    <phoneticPr fontId="5" type="noConversion"/>
  </si>
  <si>
    <t>종료 전에 생성된 댓글/노트는 계속 표시되지만 Closed에서는 새 생성과 기존 항목의 편집/삭제를 막습니다.</t>
    <phoneticPr fontId="5" type="noConversion"/>
  </si>
  <si>
    <t>작업 시작</t>
    <phoneticPr fontId="5" type="noConversion"/>
  </si>
  <si>
    <t>Assigned는 명시적 작업 시작 명령이나 유효한 작업 세션 전환으로만 Working이 되며 읽기는 상태를 변경하지 않습니다.</t>
    <phoneticPr fontId="5" type="noConversion"/>
  </si>
  <si>
    <t>작업 세션 전환</t>
    <phoneticPr fontId="5" type="noConversion"/>
  </si>
  <si>
    <t>현재 작업자만 작업 상태 전환을 적용할 수 있습니다. Assigned/Pending은 허용된 전환이 필요하고 이전 작업자는 상태 변경 없이 증거를 추가할 수 있습니다.</t>
    <phoneticPr fontId="5" type="noConversion"/>
  </si>
  <si>
    <t>자동 종료</t>
    <phoneticPr fontId="5" type="noConversion"/>
  </si>
  <si>
    <t>Resolved 티켓은 해결 이력 시각에서 7일 후 자동으로 종료됩니다.</t>
    <phoneticPr fontId="5" type="noConversion"/>
  </si>
  <si>
    <t>REMOTE 트랜잭션</t>
    <phoneticPr fontId="5" type="noConversion"/>
  </si>
  <si>
    <t>REMOTE 운영 명령은 티켓, 액션, 이력, 필요한 작업 세션 효과를 하나의 서버 트랜잭션으로 처리합니다.</t>
    <phoneticPr fontId="5" type="noConversion"/>
  </si>
  <si>
    <t>LOCAL 원자성</t>
    <phoneticPr fontId="5" type="noConversion"/>
  </si>
  <si>
    <t>LOCAL은 관찰 가능한 변경을 검증하고 준비한 뒤 프로세스 메모리 업데이트를 한 단위로 커밋합니다.</t>
    <phoneticPr fontId="5" type="noConversion"/>
  </si>
  <si>
    <t>액션과 이력</t>
    <phoneticPr fontId="5" type="noConversion"/>
  </si>
  <si>
    <t>티켓 액션은 사용자 의도나 명령 내용을 기록하고 티켓 이력은 실행된 효과의 불변 증거입니다.</t>
    <phoneticPr fontId="5" type="noConversion"/>
  </si>
  <si>
    <t>여러 이력 행</t>
    <phoneticPr fontId="5" type="noConversion"/>
  </si>
  <si>
    <t>하나의 명령이 여러 이력 행을 추가할 수 있습니다.</t>
    <phoneticPr fontId="5" type="noConversion"/>
  </si>
  <si>
    <t>null actionNo</t>
    <phoneticPr fontId="5" type="noConversion"/>
  </si>
  <si>
    <t>시스템 작업과 액션이 아닌 명령은 actionNo = null인 이력을 추가할 수 있습니다.</t>
    <phoneticPr fontId="5" type="noConversion"/>
  </si>
  <si>
    <t>작업 세션 경로</t>
    <phoneticPr fontId="5" type="noConversion"/>
  </si>
  <si>
    <t>현재 작업 세션 경로는 목록/생성만 지원하며 상세/수정/삭제/타이머 클라이언트 helper에 대응하는 경로가 없습니다.</t>
    <phoneticPr fontId="5" type="noConversion"/>
  </si>
  <si>
    <t>운영 액션 변경 가능성</t>
    <phoneticPr fontId="5" type="noConversion"/>
  </si>
  <si>
    <t>운영 티켓 액션 행은 불변이며 수정이 필요하면 새 보정 명령을 사용합니다.</t>
    <phoneticPr fontId="5" type="noConversion"/>
  </si>
  <si>
    <t>할당 후보 검증</t>
    <phoneticPr fontId="5" type="noConversion"/>
  </si>
  <si>
    <t>현재 ASSIGN 명령은 행위자, 상태, 비어 있지 않은 사용자명 목록을 검증하지만 단계, 카테고리, 할당 규칙에 따른 후보 적격성을 재검증하지 않습니다.</t>
    <phoneticPr fontId="5" type="noConversion"/>
  </si>
  <si>
    <t>값</t>
    <phoneticPr fontId="5" type="noConversion"/>
  </si>
  <si>
    <t>의미</t>
    <phoneticPr fontId="5" type="noConversion"/>
  </si>
  <si>
    <t>1. Workflow Matrix에서 작업별 행위자, 상태, 영속화, 이력 효과를 확인합니다.
2. Common Rules에서 작업 간 공통 불변 조건을 확인합니다.
3. 티켓 액션과 티켓 이력은 서로 다른 책임을 가집니다.
4. ACTION_NO_NULL은 티켓 액션 행 없이 생성된 유효한 이력을 뜻합니다.
5. Legacy Input은 이전 단일 시트 원본을 참고용으로 보존합니다.
6. REVIEW_REQUIRED는 문서화된 구현 공백이나 미해결 정책 경계를 뜻합니다.</t>
    <phoneticPr fontId="5" type="noConversion"/>
  </si>
  <si>
    <t>티켓 액션 -&gt; 사용자 의도 또는 명령 내용
티켓 변경 -&gt; 현재 워크플로 상태와 라우팅 효과
티켓 이력 -&gt; 실제 변경 사항에 대한 불변 증거
작업 세션 -&gt; 티켓 액션과 분리된 작업 시간 증거</t>
    <phoneticPr fontId="5" type="noConversion"/>
  </si>
  <si>
    <t>상태 변경 시 STATUS_UPDATED</t>
    <phoneticPr fontId="5" type="noConversion"/>
  </si>
  <si>
    <t>다른 지원 효과가 없다면 상태 이력을 만들지 않음</t>
    <phoneticPr fontId="5" type="noConversion"/>
  </si>
  <si>
    <t>티켓 액션 행을 저장하고 티켓 상태/라우팅을 변경할 수 있는 명령입니다.</t>
    <phoneticPr fontId="5" type="noConversion"/>
  </si>
  <si>
    <t>기존 커뮤니케이션 액션 행의 변경이며 현재는 soft delete만 지원합니다.</t>
    <phoneticPr fontId="5" type="noConversion"/>
  </si>
  <si>
    <t>작업 시작처럼 티켓 액션 행이 없는 명시적 티켓 명령입니다.</t>
    <phoneticPr fontId="5" type="noConversion"/>
  </si>
  <si>
    <t>티켓 액션 대신 작업 세션 행을 저장하는 작업 시간 증거 명령입니다.</t>
    <phoneticPr fontId="5" type="noConversion"/>
  </si>
  <si>
    <t>사용자 액션 행이 없는 자동화 작업입니다.</t>
    <phoneticPr fontId="5" type="noConversion"/>
  </si>
  <si>
    <t>저장된 운영 액션은 편집하거나 삭제할 수 없습니다.</t>
    <phoneticPr fontId="5" type="noConversion"/>
  </si>
  <si>
    <t>커뮤니케이션 액션은 추가 중심이며 허용된 경우 작성자가 soft delete할 수 있습니다.</t>
    <phoneticPr fontId="5" type="noConversion"/>
  </si>
  <si>
    <t>액션 하위 리소스를 통해 기존 커뮤니케이션 행을 비활성화합니다.</t>
    <phoneticPr fontId="5" type="noConversion"/>
  </si>
  <si>
    <t>이 작업은 티켓 액션 행을 생성하지 않습니다.</t>
    <phoneticPr fontId="5" type="noConversion"/>
  </si>
  <si>
    <t>이 작업은 티켓 액션 대신 작업 세션 증거를 저장합니다.</t>
    <phoneticPr fontId="5" type="noConversion"/>
  </si>
  <si>
    <t>새 티켓 액션 행을 삽입합니다.</t>
    <phoneticPr fontId="5" type="noConversion"/>
  </si>
  <si>
    <t>기존 커뮤니케이션 액션 행을 변경하거나 비활성화합니다.</t>
    <phoneticPr fontId="5" type="noConversion"/>
  </si>
  <si>
    <t>이 작업에는 티켓 액션 행이 없습니다.</t>
    <phoneticPr fontId="5" type="noConversion"/>
  </si>
  <si>
    <t>이력 행은 새로 생성된 액션 번호에 연결됩니다.</t>
    <phoneticPr fontId="5" type="noConversion"/>
  </si>
  <si>
    <t>이력은 기존 댓글/노트 액션 행에 연결됩니다.</t>
    <phoneticPr fontId="5" type="noConversion"/>
  </si>
  <si>
    <t>티켓 액션 연결 없이 이력을 생성합니다.</t>
    <phoneticPr fontId="5" type="noConversion"/>
  </si>
  <si>
    <t>현재 구현 및 현재 설계 문서와 정렬되었습니다.</t>
    <phoneticPr fontId="5" type="noConversion"/>
  </si>
  <si>
    <t>현재 구현 공백이나 정책 경계를 기록하며 완료된 권한 동작으로 취급해서는 안 됩니다.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</si>
</sst>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vertical="center"/>
    </xf>
    <xf numFmtId="0" fontId="0" fillId="0" borderId="0" xfId="1" applyFont="1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4" xfId="1" applyFont="1" applyBorder="1"/>
    <xf numFmtId="0" fontId="0" fillId="0" borderId="6" xfId="1" applyFont="1" applyBorder="1"/>
    <xf numFmtId="0" fontId="1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3" fillId="4" borderId="0" xfId="1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23">
    <dxf>
      <fill>
        <patternFill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ActionWorkflowTable" displayName="TicketActionWorkflowTable" ref="A1:P28" dataDxfId="22">
  <tableColumns count="16">
    <tableColumn id="1" xr3:uid="{00000000-0010-0000-0000-000001000000}" name="작업" dataDxfId="21"/>
    <tableColumn id="2" xr3:uid="{00000000-0010-0000-0000-000002000000}" name="작업 종류" dataDxfId="20"/>
    <tableColumn id="3" xr3:uid="{00000000-0010-0000-0000-000003000000}" name="행위자 컨텍스트" dataDxfId="19"/>
    <tableColumn id="4" xr3:uid="{00000000-0010-0000-0000-000004000000}" name="읽기 범위" dataDxfId="18"/>
    <tableColumn id="5" xr3:uid="{00000000-0010-0000-0000-000005000000}" name="실행 capability" dataDxfId="17"/>
    <tableColumn id="6" xr3:uid="{00000000-0010-0000-0000-000006000000}" name="변경 정책" dataDxfId="16"/>
    <tableColumn id="7" xr3:uid="{00000000-0010-0000-0000-000007000000}" name="허용 상태" dataDxfId="15"/>
    <tableColumn id="8" xr3:uid="{00000000-0010-0000-0000-000008000000}" name="조건" dataDxfId="14"/>
    <tableColumn id="9" xr3:uid="{00000000-0010-0000-0000-000009000000}" name="티켓 상태 효과" dataDxfId="13"/>
    <tableColumn id="10" xr3:uid="{00000000-0010-0000-0000-00000A000000}" name="라우팅 / 데이터 효과" dataDxfId="12"/>
    <tableColumn id="11" xr3:uid="{00000000-0010-0000-0000-00000B000000}" name="액션 영속화" dataDxfId="11"/>
    <tableColumn id="12" xr3:uid="{00000000-0010-0000-0000-00000C000000}" name="이력 이벤트" dataDxfId="10"/>
    <tableColumn id="13" xr3:uid="{00000000-0010-0000-0000-00000D000000}" name="이력 연결" dataDxfId="9"/>
    <tableColumn id="14" xr3:uid="{00000000-0010-0000-0000-00000E000000}" name="상태" dataDxfId="8"/>
    <tableColumn id="15" xr3:uid="{00000000-0010-0000-0000-00000F000000}" name="출처 문서" dataDxfId="7"/>
    <tableColumn id="16" xr3:uid="{00000000-0010-0000-0000-000010000000}" name="비고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cketActionCommonRulesTable" displayName="TicketActionCommonRulesTable" ref="A1:D16">
  <tableColumns count="4">
    <tableColumn id="1" xr3:uid="{00000000-0010-0000-0100-000001000000}" name="규칙 ID"/>
    <tableColumn id="2" xr3:uid="{00000000-0010-0000-0100-000002000000}" name="분류"/>
    <tableColumn id="3" xr3:uid="{00000000-0010-0000-0100-000003000000}" name="규칙"/>
    <tableColumn id="4" xr3:uid="{00000000-0010-0000-0100-000004000000}" name="상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icketActionLegendTable" displayName="TicketActionLegendTable" ref="A1:C19">
  <tableColumns count="3">
    <tableColumn id="1" xr3:uid="{00000000-0010-0000-0200-000001000000}" name="분류"/>
    <tableColumn id="2" xr3:uid="{00000000-0010-0000-0200-000002000000}" name="값"/>
    <tableColumn id="3" xr3:uid="{00000000-0010-0000-0200-000003000000}" name="의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cketActionLegacyOperationTable" displayName="TicketActionLegacyOperationTable" ref="A2:J24">
  <tableColumns count="10">
    <tableColumn id="1" xr3:uid="{00000000-0010-0000-0300-000001000000}" name="열1"/>
    <tableColumn id="2" xr3:uid="{00000000-0010-0000-0300-000002000000}" name="열2"/>
    <tableColumn id="3" xr3:uid="{00000000-0010-0000-0300-000003000000}" name="read"/>
    <tableColumn id="4" xr3:uid="{00000000-0010-0000-0300-000004000000}" name="write"/>
    <tableColumn id="5" xr3:uid="{00000000-0010-0000-0300-000005000000}" name="edit / remove(soft delete)"/>
    <tableColumn id="6" xr3:uid="{00000000-0010-0000-0300-000006000000}" name="열3"/>
    <tableColumn id="7" xr3:uid="{00000000-0010-0000-0300-000007000000}" name="조건"/>
    <tableColumn id="8" xr3:uid="{00000000-0010-0000-0300-000008000000}" name="상태"/>
    <tableColumn id="9" xr3:uid="{00000000-0010-0000-0300-000009000000}" name="other"/>
    <tableColumn id="10" xr3:uid="{00000000-0010-0000-0300-00000A000000}" name="열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8" sqref="D18"/>
    </sheetView>
  </sheetViews>
  <sheetFormatPr defaultRowHeight="14.25"/>
  <cols>
    <col min="1" max="1" width="26" customWidth="1"/>
    <col min="2" max="2" width="11.5" bestFit="1" customWidth="1"/>
    <col min="3" max="3" width="3" customWidth="1"/>
    <col min="4" max="4" width="76" customWidth="1"/>
  </cols>
  <sheetData>
    <row r="1" spans="1:4" ht="24" customHeight="1">
      <c r="A1" s="23" t="s">
        <v>219</v>
      </c>
      <c r="B1" s="23"/>
      <c r="C1" s="23"/>
      <c r="D1" s="23"/>
    </row>
    <row r="2" spans="1:4" ht="31.5" customHeight="1">
      <c r="A2" s="24" t="s">
        <v>220</v>
      </c>
      <c r="B2" s="24"/>
      <c r="C2" s="24"/>
      <c r="D2" s="24"/>
    </row>
    <row r="3" spans="1:4" ht="14.25" customHeight="1"/>
    <row r="4" spans="1:4" ht="14.25" customHeight="1">
      <c r="A4" s="1" t="s">
        <v>221</v>
      </c>
      <c r="B4" s="1" t="s">
        <v>222</v>
      </c>
      <c r="D4" s="2" t="s">
        <v>223</v>
      </c>
    </row>
    <row r="5" spans="1:4" ht="14.25" customHeight="1">
      <c r="A5" t="s">
        <v>0</v>
      </c>
      <c r="B5">
        <f>COUNTIF('Workflow Matrix'!$B$2:$B$28,"TICKET_ACTION")</f>
        <v>21</v>
      </c>
      <c r="D5" s="25" t="s">
        <v>337</v>
      </c>
    </row>
    <row r="6" spans="1:4" ht="14.25" customHeight="1">
      <c r="A6" t="s">
        <v>1</v>
      </c>
      <c r="B6">
        <f>COUNTIF('Workflow Matrix'!$B$2:$B$28,"ACTION_SUBRESOURCE")</f>
        <v>2</v>
      </c>
      <c r="D6" s="25"/>
    </row>
    <row r="7" spans="1:4" ht="14.25" customHeight="1">
      <c r="A7" t="s">
        <v>2</v>
      </c>
      <c r="B7">
        <f>COUNTIF('Workflow Matrix'!$B$2:$B$28,"TICKET_COMMAND")</f>
        <v>1</v>
      </c>
      <c r="D7" s="25"/>
    </row>
    <row r="8" spans="1:4" ht="14.25" customHeight="1">
      <c r="A8" t="s">
        <v>3</v>
      </c>
      <c r="B8">
        <f>COUNTIF('Workflow Matrix'!$B$2:$B$28,"WORK_SESSION_COMMAND")</f>
        <v>2</v>
      </c>
      <c r="D8" s="25"/>
    </row>
    <row r="9" spans="1:4" ht="14.25" customHeight="1">
      <c r="A9" t="s">
        <v>4</v>
      </c>
      <c r="B9">
        <f>COUNTIF('Workflow Matrix'!$B$2:$B$28,"SYSTEM_OPERATION")</f>
        <v>1</v>
      </c>
      <c r="D9" s="25"/>
    </row>
    <row r="10" spans="1:4" ht="14.25" customHeight="1">
      <c r="A10" t="s">
        <v>224</v>
      </c>
      <c r="B10">
        <f>COUNTA('Workflow Matrix'!$A$2:$A$28)</f>
        <v>27</v>
      </c>
      <c r="D10" s="25"/>
    </row>
    <row r="11" spans="1:4" ht="14.25" customHeight="1"/>
    <row r="12" spans="1:4" ht="14.25" customHeight="1">
      <c r="A12" s="26" t="s">
        <v>225</v>
      </c>
      <c r="B12" s="26"/>
      <c r="C12" s="26"/>
      <c r="D12" s="26"/>
    </row>
    <row r="13" spans="1:4" ht="14.25" customHeight="1">
      <c r="A13" s="25" t="s">
        <v>338</v>
      </c>
      <c r="B13" s="25"/>
      <c r="C13" s="25"/>
      <c r="D13" s="25"/>
    </row>
    <row r="14" spans="1:4" ht="14.25" customHeight="1">
      <c r="A14" s="25"/>
      <c r="B14" s="25"/>
      <c r="C14" s="25"/>
      <c r="D14" s="25"/>
    </row>
    <row r="15" spans="1:4" ht="14.25" customHeight="1">
      <c r="A15" s="25"/>
      <c r="B15" s="25"/>
      <c r="C15" s="25"/>
      <c r="D15" s="25"/>
    </row>
    <row r="16" spans="1:4" ht="14.25" customHeight="1">
      <c r="A16" s="25"/>
      <c r="B16" s="25"/>
      <c r="C16" s="25"/>
      <c r="D16" s="25"/>
    </row>
  </sheetData>
  <mergeCells count="5">
    <mergeCell ref="A1:D1"/>
    <mergeCell ref="A2:D2"/>
    <mergeCell ref="D5:D10"/>
    <mergeCell ref="A12:D12"/>
    <mergeCell ref="A13:D1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selection activeCell="A2" sqref="A2"/>
    </sheetView>
  </sheetViews>
  <sheetFormatPr defaultRowHeight="14.25"/>
  <cols>
    <col min="1" max="1" width="26.75" bestFit="1" customWidth="1"/>
    <col min="2" max="2" width="22.875" customWidth="1"/>
    <col min="3" max="3" width="32.375" bestFit="1" customWidth="1"/>
    <col min="4" max="4" width="17.375" bestFit="1" customWidth="1"/>
    <col min="5" max="5" width="31.25" bestFit="1" customWidth="1"/>
    <col min="6" max="6" width="31.375" bestFit="1" customWidth="1"/>
    <col min="7" max="7" width="32" customWidth="1"/>
    <col min="8" max="8" width="30" customWidth="1"/>
    <col min="9" max="9" width="28.625" bestFit="1" customWidth="1"/>
    <col min="10" max="10" width="45.875" customWidth="1"/>
    <col min="11" max="11" width="22" customWidth="1"/>
    <col min="12" max="12" width="34" customWidth="1"/>
    <col min="13" max="13" width="22" customWidth="1"/>
    <col min="14" max="14" width="20.5" customWidth="1"/>
    <col min="15" max="15" width="56" customWidth="1"/>
    <col min="16" max="16" width="58" customWidth="1"/>
  </cols>
  <sheetData>
    <row r="1" spans="1:16" ht="15">
      <c r="A1" s="4" t="s">
        <v>226</v>
      </c>
      <c r="B1" s="5" t="s">
        <v>221</v>
      </c>
      <c r="C1" s="5" t="s">
        <v>227</v>
      </c>
      <c r="D1" s="5" t="s">
        <v>228</v>
      </c>
      <c r="E1" s="5" t="s">
        <v>229</v>
      </c>
      <c r="F1" s="5" t="s">
        <v>230</v>
      </c>
      <c r="G1" s="5" t="s">
        <v>231</v>
      </c>
      <c r="H1" s="5" t="s">
        <v>232</v>
      </c>
      <c r="I1" s="5" t="s">
        <v>233</v>
      </c>
      <c r="J1" s="5" t="s">
        <v>234</v>
      </c>
      <c r="K1" s="5" t="s">
        <v>235</v>
      </c>
      <c r="L1" s="5" t="s">
        <v>236</v>
      </c>
      <c r="M1" s="5" t="s">
        <v>237</v>
      </c>
      <c r="N1" s="5" t="s">
        <v>238</v>
      </c>
      <c r="O1" s="5" t="s">
        <v>239</v>
      </c>
      <c r="P1" s="6" t="s">
        <v>240</v>
      </c>
    </row>
    <row r="2" spans="1:16" s="17" customFormat="1" ht="57" customHeight="1">
      <c r="A2" s="15" t="s">
        <v>5</v>
      </c>
      <c r="B2" s="14" t="s">
        <v>0</v>
      </c>
      <c r="C2" s="14" t="s">
        <v>6</v>
      </c>
      <c r="D2" s="14" t="s">
        <v>7</v>
      </c>
      <c r="E2" s="14" t="s">
        <v>6</v>
      </c>
      <c r="F2" s="14" t="s">
        <v>8</v>
      </c>
      <c r="G2" s="14" t="s">
        <v>9</v>
      </c>
      <c r="H2" s="14" t="s">
        <v>10</v>
      </c>
      <c r="I2" s="14" t="s">
        <v>154</v>
      </c>
      <c r="J2" s="14" t="s">
        <v>241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242</v>
      </c>
      <c r="P2" s="16" t="s">
        <v>243</v>
      </c>
    </row>
    <row r="3" spans="1:16" s="17" customFormat="1" ht="57" customHeight="1">
      <c r="A3" s="15" t="s">
        <v>5</v>
      </c>
      <c r="B3" s="14" t="s">
        <v>0</v>
      </c>
      <c r="C3" s="14" t="s">
        <v>6</v>
      </c>
      <c r="D3" s="14" t="s">
        <v>7</v>
      </c>
      <c r="E3" s="14" t="s">
        <v>6</v>
      </c>
      <c r="F3" s="14" t="s">
        <v>8</v>
      </c>
      <c r="G3" s="14" t="s">
        <v>9</v>
      </c>
      <c r="H3" s="14" t="s">
        <v>15</v>
      </c>
      <c r="I3" s="14" t="s">
        <v>158</v>
      </c>
      <c r="J3" s="14" t="s">
        <v>244</v>
      </c>
      <c r="K3" s="14" t="s">
        <v>11</v>
      </c>
      <c r="L3" s="14" t="s">
        <v>16</v>
      </c>
      <c r="M3" s="14" t="s">
        <v>13</v>
      </c>
      <c r="N3" s="14" t="s">
        <v>14</v>
      </c>
      <c r="O3" s="14" t="s">
        <v>242</v>
      </c>
      <c r="P3" s="16" t="s">
        <v>245</v>
      </c>
    </row>
    <row r="4" spans="1:16" s="17" customFormat="1" ht="57" customHeight="1">
      <c r="A4" s="15" t="s">
        <v>17</v>
      </c>
      <c r="B4" s="14" t="s">
        <v>0</v>
      </c>
      <c r="C4" s="14" t="s">
        <v>6</v>
      </c>
      <c r="D4" s="14" t="s">
        <v>7</v>
      </c>
      <c r="E4" s="14" t="s">
        <v>6</v>
      </c>
      <c r="F4" s="14" t="s">
        <v>8</v>
      </c>
      <c r="G4" s="14" t="s">
        <v>9</v>
      </c>
      <c r="H4" s="14" t="s">
        <v>18</v>
      </c>
      <c r="I4" s="14" t="s">
        <v>246</v>
      </c>
      <c r="J4" s="14" t="s">
        <v>247</v>
      </c>
      <c r="K4" s="14" t="s">
        <v>11</v>
      </c>
      <c r="L4" s="14" t="s">
        <v>19</v>
      </c>
      <c r="M4" s="14" t="s">
        <v>13</v>
      </c>
      <c r="N4" s="14" t="s">
        <v>14</v>
      </c>
      <c r="O4" s="14" t="s">
        <v>242</v>
      </c>
      <c r="P4" s="16" t="s">
        <v>248</v>
      </c>
    </row>
    <row r="5" spans="1:16" s="17" customFormat="1" ht="57" customHeight="1">
      <c r="A5" s="15" t="s">
        <v>20</v>
      </c>
      <c r="B5" s="14" t="s">
        <v>0</v>
      </c>
      <c r="C5" s="14" t="s">
        <v>21</v>
      </c>
      <c r="D5" s="14" t="s">
        <v>7</v>
      </c>
      <c r="E5" s="14" t="s">
        <v>21</v>
      </c>
      <c r="F5" s="14" t="s">
        <v>22</v>
      </c>
      <c r="G5" s="14" t="s">
        <v>23</v>
      </c>
      <c r="H5" s="14" t="s">
        <v>24</v>
      </c>
      <c r="I5" s="14" t="s">
        <v>249</v>
      </c>
      <c r="J5" s="14" t="s">
        <v>250</v>
      </c>
      <c r="K5" s="14" t="s">
        <v>11</v>
      </c>
      <c r="L5" s="14" t="s">
        <v>25</v>
      </c>
      <c r="M5" s="14" t="s">
        <v>13</v>
      </c>
      <c r="N5" s="14" t="s">
        <v>14</v>
      </c>
      <c r="O5" s="14" t="s">
        <v>251</v>
      </c>
      <c r="P5" s="16" t="s">
        <v>252</v>
      </c>
    </row>
    <row r="6" spans="1:16" s="17" customFormat="1" ht="57" customHeight="1">
      <c r="A6" s="15" t="s">
        <v>20</v>
      </c>
      <c r="B6" s="14" t="s">
        <v>0</v>
      </c>
      <c r="C6" s="14" t="s">
        <v>26</v>
      </c>
      <c r="D6" s="14" t="s">
        <v>7</v>
      </c>
      <c r="E6" s="14" t="s">
        <v>26</v>
      </c>
      <c r="F6" s="14" t="s">
        <v>22</v>
      </c>
      <c r="G6" s="14" t="s">
        <v>23</v>
      </c>
      <c r="H6" s="14" t="s">
        <v>26</v>
      </c>
      <c r="I6" s="14" t="s">
        <v>249</v>
      </c>
      <c r="J6" s="14" t="s">
        <v>250</v>
      </c>
      <c r="K6" s="14" t="s">
        <v>11</v>
      </c>
      <c r="L6" s="14" t="s">
        <v>25</v>
      </c>
      <c r="M6" s="14" t="s">
        <v>13</v>
      </c>
      <c r="N6" s="14" t="s">
        <v>14</v>
      </c>
      <c r="O6" s="14" t="s">
        <v>251</v>
      </c>
      <c r="P6" s="16" t="s">
        <v>253</v>
      </c>
    </row>
    <row r="7" spans="1:16" s="17" customFormat="1" ht="57" customHeight="1">
      <c r="A7" s="15" t="s">
        <v>27</v>
      </c>
      <c r="B7" s="14" t="s">
        <v>1</v>
      </c>
      <c r="C7" s="14" t="s">
        <v>28</v>
      </c>
      <c r="D7" s="14" t="s">
        <v>7</v>
      </c>
      <c r="E7" s="14" t="s">
        <v>28</v>
      </c>
      <c r="F7" s="14" t="s">
        <v>29</v>
      </c>
      <c r="G7" s="14" t="s">
        <v>23</v>
      </c>
      <c r="H7" s="14" t="s">
        <v>30</v>
      </c>
      <c r="I7" s="14" t="s">
        <v>249</v>
      </c>
      <c r="J7" s="14" t="s">
        <v>254</v>
      </c>
      <c r="K7" s="14" t="s">
        <v>31</v>
      </c>
      <c r="L7" s="14" t="s">
        <v>32</v>
      </c>
      <c r="M7" s="14" t="s">
        <v>33</v>
      </c>
      <c r="N7" s="14" t="s">
        <v>14</v>
      </c>
      <c r="O7" s="14" t="s">
        <v>251</v>
      </c>
      <c r="P7" s="16" t="s">
        <v>255</v>
      </c>
    </row>
    <row r="8" spans="1:16" s="17" customFormat="1" ht="57" customHeight="1">
      <c r="A8" s="15" t="s">
        <v>34</v>
      </c>
      <c r="B8" s="14" t="s">
        <v>0</v>
      </c>
      <c r="C8" s="14" t="s">
        <v>21</v>
      </c>
      <c r="D8" s="14" t="s">
        <v>7</v>
      </c>
      <c r="E8" s="14" t="s">
        <v>21</v>
      </c>
      <c r="F8" s="14" t="s">
        <v>22</v>
      </c>
      <c r="G8" s="14" t="s">
        <v>23</v>
      </c>
      <c r="H8" s="14" t="s">
        <v>24</v>
      </c>
      <c r="I8" s="14" t="s">
        <v>249</v>
      </c>
      <c r="J8" s="14" t="s">
        <v>256</v>
      </c>
      <c r="K8" s="14" t="s">
        <v>11</v>
      </c>
      <c r="L8" s="14" t="s">
        <v>35</v>
      </c>
      <c r="M8" s="14" t="s">
        <v>13</v>
      </c>
      <c r="N8" s="14" t="s">
        <v>14</v>
      </c>
      <c r="O8" s="14" t="s">
        <v>251</v>
      </c>
      <c r="P8" s="16" t="s">
        <v>257</v>
      </c>
    </row>
    <row r="9" spans="1:16" s="17" customFormat="1" ht="57" customHeight="1">
      <c r="A9" s="15" t="s">
        <v>34</v>
      </c>
      <c r="B9" s="14" t="s">
        <v>0</v>
      </c>
      <c r="C9" s="14" t="s">
        <v>26</v>
      </c>
      <c r="D9" s="14" t="s">
        <v>7</v>
      </c>
      <c r="E9" s="14" t="s">
        <v>26</v>
      </c>
      <c r="F9" s="14" t="s">
        <v>22</v>
      </c>
      <c r="G9" s="14" t="s">
        <v>23</v>
      </c>
      <c r="H9" s="14" t="s">
        <v>26</v>
      </c>
      <c r="I9" s="14" t="s">
        <v>249</v>
      </c>
      <c r="J9" s="14" t="s">
        <v>256</v>
      </c>
      <c r="K9" s="14" t="s">
        <v>11</v>
      </c>
      <c r="L9" s="14" t="s">
        <v>35</v>
      </c>
      <c r="M9" s="14" t="s">
        <v>13</v>
      </c>
      <c r="N9" s="14" t="s">
        <v>14</v>
      </c>
      <c r="O9" s="14" t="s">
        <v>251</v>
      </c>
      <c r="P9" s="16" t="s">
        <v>258</v>
      </c>
    </row>
    <row r="10" spans="1:16" s="17" customFormat="1" ht="57" customHeight="1">
      <c r="A10" s="15" t="s">
        <v>36</v>
      </c>
      <c r="B10" s="14" t="s">
        <v>1</v>
      </c>
      <c r="C10" s="14" t="s">
        <v>28</v>
      </c>
      <c r="D10" s="14" t="s">
        <v>7</v>
      </c>
      <c r="E10" s="14" t="s">
        <v>28</v>
      </c>
      <c r="F10" s="14" t="s">
        <v>29</v>
      </c>
      <c r="G10" s="14" t="s">
        <v>23</v>
      </c>
      <c r="H10" s="14" t="s">
        <v>30</v>
      </c>
      <c r="I10" s="14" t="s">
        <v>249</v>
      </c>
      <c r="J10" s="14" t="s">
        <v>259</v>
      </c>
      <c r="K10" s="14" t="s">
        <v>31</v>
      </c>
      <c r="L10" s="14" t="s">
        <v>37</v>
      </c>
      <c r="M10" s="14" t="s">
        <v>33</v>
      </c>
      <c r="N10" s="14" t="s">
        <v>14</v>
      </c>
      <c r="O10" s="14" t="s">
        <v>251</v>
      </c>
      <c r="P10" s="16" t="s">
        <v>260</v>
      </c>
    </row>
    <row r="11" spans="1:16" s="17" customFormat="1" ht="57" customHeight="1">
      <c r="A11" s="15" t="s">
        <v>38</v>
      </c>
      <c r="B11" s="14" t="s">
        <v>0</v>
      </c>
      <c r="C11" s="14" t="s">
        <v>39</v>
      </c>
      <c r="D11" s="14" t="s">
        <v>7</v>
      </c>
      <c r="E11" s="14" t="s">
        <v>39</v>
      </c>
      <c r="F11" s="14" t="s">
        <v>8</v>
      </c>
      <c r="G11" s="14" t="s">
        <v>40</v>
      </c>
      <c r="H11" s="14" t="s">
        <v>41</v>
      </c>
      <c r="I11" s="14" t="s">
        <v>261</v>
      </c>
      <c r="J11" s="14" t="s">
        <v>262</v>
      </c>
      <c r="K11" s="14" t="s">
        <v>11</v>
      </c>
      <c r="L11" s="14" t="s">
        <v>42</v>
      </c>
      <c r="M11" s="14" t="s">
        <v>13</v>
      </c>
      <c r="N11" s="14" t="s">
        <v>132</v>
      </c>
      <c r="O11" s="14" t="s">
        <v>263</v>
      </c>
      <c r="P11" s="16" t="s">
        <v>264</v>
      </c>
    </row>
    <row r="12" spans="1:16" s="17" customFormat="1" ht="57" customHeight="1">
      <c r="A12" s="15" t="s">
        <v>38</v>
      </c>
      <c r="B12" s="14" t="s">
        <v>0</v>
      </c>
      <c r="C12" s="14" t="s">
        <v>26</v>
      </c>
      <c r="D12" s="14" t="s">
        <v>7</v>
      </c>
      <c r="E12" s="14" t="s">
        <v>26</v>
      </c>
      <c r="F12" s="14" t="s">
        <v>8</v>
      </c>
      <c r="G12" s="14" t="s">
        <v>9</v>
      </c>
      <c r="H12" s="14" t="s">
        <v>43</v>
      </c>
      <c r="I12" s="14" t="s">
        <v>154</v>
      </c>
      <c r="J12" s="14" t="s">
        <v>265</v>
      </c>
      <c r="K12" s="14" t="s">
        <v>11</v>
      </c>
      <c r="L12" s="14" t="s">
        <v>42</v>
      </c>
      <c r="M12" s="14" t="s">
        <v>13</v>
      </c>
      <c r="N12" s="14" t="s">
        <v>132</v>
      </c>
      <c r="O12" s="14" t="s">
        <v>263</v>
      </c>
      <c r="P12" s="16" t="s">
        <v>266</v>
      </c>
    </row>
    <row r="13" spans="1:16" s="17" customFormat="1" ht="57" customHeight="1">
      <c r="A13" s="15" t="s">
        <v>44</v>
      </c>
      <c r="B13" s="14" t="s">
        <v>0</v>
      </c>
      <c r="C13" s="14" t="s">
        <v>45</v>
      </c>
      <c r="D13" s="14" t="s">
        <v>7</v>
      </c>
      <c r="E13" s="14" t="s">
        <v>45</v>
      </c>
      <c r="F13" s="14" t="s">
        <v>8</v>
      </c>
      <c r="G13" s="14" t="s">
        <v>40</v>
      </c>
      <c r="H13" s="14" t="s">
        <v>46</v>
      </c>
      <c r="I13" s="14" t="s">
        <v>249</v>
      </c>
      <c r="J13" s="14" t="s">
        <v>267</v>
      </c>
      <c r="K13" s="14" t="s">
        <v>11</v>
      </c>
      <c r="L13" s="14" t="s">
        <v>42</v>
      </c>
      <c r="M13" s="14" t="s">
        <v>13</v>
      </c>
      <c r="N13" s="14" t="s">
        <v>14</v>
      </c>
      <c r="O13" s="14" t="s">
        <v>263</v>
      </c>
      <c r="P13" s="16" t="s">
        <v>268</v>
      </c>
    </row>
    <row r="14" spans="1:16" s="17" customFormat="1" ht="57" customHeight="1">
      <c r="A14" s="15" t="s">
        <v>47</v>
      </c>
      <c r="B14" s="14" t="s">
        <v>0</v>
      </c>
      <c r="C14" s="14" t="s">
        <v>45</v>
      </c>
      <c r="D14" s="14" t="s">
        <v>7</v>
      </c>
      <c r="E14" s="14" t="s">
        <v>45</v>
      </c>
      <c r="F14" s="14" t="s">
        <v>8</v>
      </c>
      <c r="G14" s="14" t="s">
        <v>40</v>
      </c>
      <c r="H14" s="14" t="s">
        <v>48</v>
      </c>
      <c r="I14" s="14" t="s">
        <v>249</v>
      </c>
      <c r="J14" s="14" t="s">
        <v>269</v>
      </c>
      <c r="K14" s="14" t="s">
        <v>11</v>
      </c>
      <c r="L14" s="14" t="s">
        <v>49</v>
      </c>
      <c r="M14" s="14" t="s">
        <v>13</v>
      </c>
      <c r="N14" s="14" t="s">
        <v>14</v>
      </c>
      <c r="O14" s="14" t="s">
        <v>251</v>
      </c>
      <c r="P14" s="16" t="s">
        <v>270</v>
      </c>
    </row>
    <row r="15" spans="1:16" s="17" customFormat="1" ht="57" customHeight="1">
      <c r="A15" s="15" t="s">
        <v>47</v>
      </c>
      <c r="B15" s="14" t="s">
        <v>0</v>
      </c>
      <c r="C15" s="14" t="s">
        <v>26</v>
      </c>
      <c r="D15" s="14" t="s">
        <v>7</v>
      </c>
      <c r="E15" s="14" t="s">
        <v>26</v>
      </c>
      <c r="F15" s="14" t="s">
        <v>8</v>
      </c>
      <c r="G15" s="14" t="s">
        <v>50</v>
      </c>
      <c r="H15" s="14" t="s">
        <v>51</v>
      </c>
      <c r="I15" s="14" t="s">
        <v>249</v>
      </c>
      <c r="J15" s="14" t="s">
        <v>269</v>
      </c>
      <c r="K15" s="14" t="s">
        <v>11</v>
      </c>
      <c r="L15" s="14" t="s">
        <v>49</v>
      </c>
      <c r="M15" s="14" t="s">
        <v>13</v>
      </c>
      <c r="N15" s="14" t="s">
        <v>14</v>
      </c>
      <c r="O15" s="14" t="s">
        <v>251</v>
      </c>
      <c r="P15" s="16" t="s">
        <v>271</v>
      </c>
    </row>
    <row r="16" spans="1:16" s="17" customFormat="1" ht="57" customHeight="1">
      <c r="A16" s="15" t="s">
        <v>47</v>
      </c>
      <c r="B16" s="14" t="s">
        <v>0</v>
      </c>
      <c r="C16" s="14" t="s">
        <v>26</v>
      </c>
      <c r="D16" s="14" t="s">
        <v>7</v>
      </c>
      <c r="E16" s="14" t="s">
        <v>26</v>
      </c>
      <c r="F16" s="14" t="s">
        <v>8</v>
      </c>
      <c r="G16" s="14" t="s">
        <v>52</v>
      </c>
      <c r="H16" s="14" t="s">
        <v>53</v>
      </c>
      <c r="I16" s="14" t="s">
        <v>249</v>
      </c>
      <c r="J16" s="14" t="s">
        <v>272</v>
      </c>
      <c r="K16" s="14" t="s">
        <v>11</v>
      </c>
      <c r="L16" s="14" t="s">
        <v>49</v>
      </c>
      <c r="M16" s="14" t="s">
        <v>13</v>
      </c>
      <c r="N16" s="14" t="s">
        <v>14</v>
      </c>
      <c r="O16" s="14" t="s">
        <v>251</v>
      </c>
      <c r="P16" s="16" t="s">
        <v>273</v>
      </c>
    </row>
    <row r="17" spans="1:16" s="17" customFormat="1" ht="57" customHeight="1">
      <c r="A17" s="15" t="s">
        <v>54</v>
      </c>
      <c r="B17" s="14" t="s">
        <v>0</v>
      </c>
      <c r="C17" s="14" t="s">
        <v>39</v>
      </c>
      <c r="D17" s="14" t="s">
        <v>7</v>
      </c>
      <c r="E17" s="14" t="s">
        <v>39</v>
      </c>
      <c r="F17" s="14" t="s">
        <v>8</v>
      </c>
      <c r="G17" s="14" t="s">
        <v>40</v>
      </c>
      <c r="H17" s="14" t="s">
        <v>18</v>
      </c>
      <c r="I17" s="14" t="s">
        <v>195</v>
      </c>
      <c r="J17" s="14" t="s">
        <v>274</v>
      </c>
      <c r="K17" s="14" t="s">
        <v>11</v>
      </c>
      <c r="L17" s="14" t="s">
        <v>55</v>
      </c>
      <c r="M17" s="14" t="s">
        <v>13</v>
      </c>
      <c r="N17" s="14" t="s">
        <v>14</v>
      </c>
      <c r="O17" s="14" t="s">
        <v>251</v>
      </c>
      <c r="P17" s="16" t="s">
        <v>275</v>
      </c>
    </row>
    <row r="18" spans="1:16" s="17" customFormat="1" ht="57" customHeight="1">
      <c r="A18" s="15" t="s">
        <v>56</v>
      </c>
      <c r="B18" s="14" t="s">
        <v>0</v>
      </c>
      <c r="C18" s="14" t="s">
        <v>45</v>
      </c>
      <c r="D18" s="14" t="s">
        <v>7</v>
      </c>
      <c r="E18" s="14" t="s">
        <v>45</v>
      </c>
      <c r="F18" s="14" t="s">
        <v>8</v>
      </c>
      <c r="G18" s="14" t="s">
        <v>57</v>
      </c>
      <c r="H18" s="14" t="s">
        <v>58</v>
      </c>
      <c r="I18" s="14" t="s">
        <v>200</v>
      </c>
      <c r="J18" s="14" t="s">
        <v>276</v>
      </c>
      <c r="K18" s="14" t="s">
        <v>11</v>
      </c>
      <c r="L18" s="14" t="s">
        <v>59</v>
      </c>
      <c r="M18" s="14" t="s">
        <v>13</v>
      </c>
      <c r="N18" s="14" t="s">
        <v>14</v>
      </c>
      <c r="O18" s="14" t="s">
        <v>251</v>
      </c>
      <c r="P18" s="16" t="s">
        <v>277</v>
      </c>
    </row>
    <row r="19" spans="1:16" s="17" customFormat="1" ht="57" customHeight="1">
      <c r="A19" s="15" t="s">
        <v>56</v>
      </c>
      <c r="B19" s="14" t="s">
        <v>0</v>
      </c>
      <c r="C19" s="14" t="s">
        <v>45</v>
      </c>
      <c r="D19" s="14" t="s">
        <v>7</v>
      </c>
      <c r="E19" s="14" t="s">
        <v>45</v>
      </c>
      <c r="F19" s="14" t="s">
        <v>8</v>
      </c>
      <c r="G19" s="14" t="s">
        <v>57</v>
      </c>
      <c r="H19" s="14" t="s">
        <v>60</v>
      </c>
      <c r="I19" s="14" t="s">
        <v>200</v>
      </c>
      <c r="J19" s="14" t="s">
        <v>278</v>
      </c>
      <c r="K19" s="14" t="s">
        <v>11</v>
      </c>
      <c r="L19" s="14" t="s">
        <v>59</v>
      </c>
      <c r="M19" s="14" t="s">
        <v>13</v>
      </c>
      <c r="N19" s="14" t="s">
        <v>14</v>
      </c>
      <c r="O19" s="14" t="s">
        <v>251</v>
      </c>
      <c r="P19" s="16" t="s">
        <v>279</v>
      </c>
    </row>
    <row r="20" spans="1:16" s="17" customFormat="1" ht="57" customHeight="1">
      <c r="A20" s="15" t="s">
        <v>56</v>
      </c>
      <c r="B20" s="14" t="s">
        <v>0</v>
      </c>
      <c r="C20" s="14" t="s">
        <v>26</v>
      </c>
      <c r="D20" s="14" t="s">
        <v>7</v>
      </c>
      <c r="E20" s="14" t="s">
        <v>26</v>
      </c>
      <c r="F20" s="14" t="s">
        <v>8</v>
      </c>
      <c r="G20" s="14" t="s">
        <v>61</v>
      </c>
      <c r="H20" s="14" t="s">
        <v>62</v>
      </c>
      <c r="I20" s="14" t="s">
        <v>280</v>
      </c>
      <c r="J20" s="14" t="s">
        <v>281</v>
      </c>
      <c r="K20" s="14" t="s">
        <v>11</v>
      </c>
      <c r="L20" s="14" t="s">
        <v>59</v>
      </c>
      <c r="M20" s="14" t="s">
        <v>13</v>
      </c>
      <c r="N20" s="14" t="s">
        <v>14</v>
      </c>
      <c r="O20" s="14" t="s">
        <v>251</v>
      </c>
      <c r="P20" s="16" t="s">
        <v>282</v>
      </c>
    </row>
    <row r="21" spans="1:16" s="17" customFormat="1" ht="57" customHeight="1">
      <c r="A21" s="15" t="s">
        <v>63</v>
      </c>
      <c r="B21" s="14" t="s">
        <v>0</v>
      </c>
      <c r="C21" s="14" t="s">
        <v>64</v>
      </c>
      <c r="D21" s="14" t="s">
        <v>7</v>
      </c>
      <c r="E21" s="14" t="s">
        <v>64</v>
      </c>
      <c r="F21" s="14" t="s">
        <v>8</v>
      </c>
      <c r="G21" s="14" t="s">
        <v>65</v>
      </c>
      <c r="H21" s="14" t="s">
        <v>18</v>
      </c>
      <c r="I21" s="14" t="s">
        <v>283</v>
      </c>
      <c r="J21" s="14" t="s">
        <v>284</v>
      </c>
      <c r="K21" s="14" t="s">
        <v>11</v>
      </c>
      <c r="L21" s="14" t="s">
        <v>66</v>
      </c>
      <c r="M21" s="14" t="s">
        <v>13</v>
      </c>
      <c r="N21" s="14" t="s">
        <v>14</v>
      </c>
      <c r="O21" s="14" t="s">
        <v>251</v>
      </c>
      <c r="P21" s="16" t="s">
        <v>285</v>
      </c>
    </row>
    <row r="22" spans="1:16" s="17" customFormat="1" ht="57" customHeight="1">
      <c r="A22" s="15" t="s">
        <v>67</v>
      </c>
      <c r="B22" s="14" t="s">
        <v>0</v>
      </c>
      <c r="C22" s="14" t="s">
        <v>68</v>
      </c>
      <c r="D22" s="14" t="s">
        <v>7</v>
      </c>
      <c r="E22" s="14" t="s">
        <v>68</v>
      </c>
      <c r="F22" s="14" t="s">
        <v>8</v>
      </c>
      <c r="G22" s="14" t="s">
        <v>69</v>
      </c>
      <c r="H22" s="14" t="s">
        <v>70</v>
      </c>
      <c r="I22" s="14" t="s">
        <v>212</v>
      </c>
      <c r="J22" s="14" t="s">
        <v>286</v>
      </c>
      <c r="K22" s="14" t="s">
        <v>11</v>
      </c>
      <c r="L22" s="14" t="s">
        <v>71</v>
      </c>
      <c r="M22" s="14" t="s">
        <v>13</v>
      </c>
      <c r="N22" s="14" t="s">
        <v>14</v>
      </c>
      <c r="O22" s="14" t="s">
        <v>242</v>
      </c>
      <c r="P22" s="16" t="s">
        <v>287</v>
      </c>
    </row>
    <row r="23" spans="1:16" s="17" customFormat="1" ht="57" customHeight="1">
      <c r="A23" s="15" t="s">
        <v>67</v>
      </c>
      <c r="B23" s="14" t="s">
        <v>0</v>
      </c>
      <c r="C23" s="14" t="s">
        <v>68</v>
      </c>
      <c r="D23" s="14" t="s">
        <v>7</v>
      </c>
      <c r="E23" s="14" t="s">
        <v>68</v>
      </c>
      <c r="F23" s="14" t="s">
        <v>8</v>
      </c>
      <c r="G23" s="14" t="s">
        <v>69</v>
      </c>
      <c r="H23" s="14" t="s">
        <v>72</v>
      </c>
      <c r="I23" s="14" t="s">
        <v>158</v>
      </c>
      <c r="J23" s="14" t="s">
        <v>288</v>
      </c>
      <c r="K23" s="14" t="s">
        <v>11</v>
      </c>
      <c r="L23" s="14" t="s">
        <v>73</v>
      </c>
      <c r="M23" s="14" t="s">
        <v>13</v>
      </c>
      <c r="N23" s="14" t="s">
        <v>14</v>
      </c>
      <c r="O23" s="14" t="s">
        <v>263</v>
      </c>
      <c r="P23" s="16" t="s">
        <v>289</v>
      </c>
    </row>
    <row r="24" spans="1:16" s="17" customFormat="1" ht="57" customHeight="1">
      <c r="A24" s="15" t="s">
        <v>74</v>
      </c>
      <c r="B24" s="14" t="s">
        <v>0</v>
      </c>
      <c r="C24" s="14" t="s">
        <v>68</v>
      </c>
      <c r="D24" s="14" t="s">
        <v>7</v>
      </c>
      <c r="E24" s="14" t="s">
        <v>68</v>
      </c>
      <c r="F24" s="14" t="s">
        <v>8</v>
      </c>
      <c r="G24" s="14" t="s">
        <v>75</v>
      </c>
      <c r="H24" s="14" t="s">
        <v>18</v>
      </c>
      <c r="I24" s="14" t="s">
        <v>200</v>
      </c>
      <c r="J24" s="14" t="s">
        <v>290</v>
      </c>
      <c r="K24" s="14" t="s">
        <v>11</v>
      </c>
      <c r="L24" s="14" t="s">
        <v>76</v>
      </c>
      <c r="M24" s="14" t="s">
        <v>13</v>
      </c>
      <c r="N24" s="14" t="s">
        <v>14</v>
      </c>
      <c r="O24" s="14" t="s">
        <v>251</v>
      </c>
      <c r="P24" s="16" t="s">
        <v>291</v>
      </c>
    </row>
    <row r="25" spans="1:16" s="17" customFormat="1" ht="57" customHeight="1">
      <c r="A25" s="15" t="s">
        <v>77</v>
      </c>
      <c r="B25" s="14" t="s">
        <v>2</v>
      </c>
      <c r="C25" s="14" t="s">
        <v>45</v>
      </c>
      <c r="D25" s="14" t="s">
        <v>7</v>
      </c>
      <c r="E25" s="14" t="s">
        <v>45</v>
      </c>
      <c r="F25" s="14" t="s">
        <v>78</v>
      </c>
      <c r="G25" s="14" t="s">
        <v>79</v>
      </c>
      <c r="H25" s="14" t="s">
        <v>80</v>
      </c>
      <c r="I25" s="14" t="s">
        <v>283</v>
      </c>
      <c r="J25" s="14" t="s">
        <v>292</v>
      </c>
      <c r="K25" s="14" t="s">
        <v>78</v>
      </c>
      <c r="L25" s="14" t="s">
        <v>81</v>
      </c>
      <c r="M25" s="14" t="s">
        <v>82</v>
      </c>
      <c r="N25" s="14" t="s">
        <v>14</v>
      </c>
      <c r="O25" s="14" t="s">
        <v>293</v>
      </c>
      <c r="P25" s="16" t="s">
        <v>294</v>
      </c>
    </row>
    <row r="26" spans="1:16" s="17" customFormat="1" ht="57" customHeight="1">
      <c r="A26" s="15" t="s">
        <v>83</v>
      </c>
      <c r="B26" s="14" t="s">
        <v>3</v>
      </c>
      <c r="C26" s="14" t="s">
        <v>45</v>
      </c>
      <c r="D26" s="14" t="s">
        <v>7</v>
      </c>
      <c r="E26" s="14" t="s">
        <v>45</v>
      </c>
      <c r="F26" s="14" t="s">
        <v>84</v>
      </c>
      <c r="G26" s="14" t="s">
        <v>40</v>
      </c>
      <c r="H26" s="14" t="s">
        <v>85</v>
      </c>
      <c r="I26" s="14" t="s">
        <v>295</v>
      </c>
      <c r="J26" s="14" t="s">
        <v>296</v>
      </c>
      <c r="K26" s="14" t="s">
        <v>78</v>
      </c>
      <c r="L26" s="14" t="s">
        <v>339</v>
      </c>
      <c r="M26" s="14" t="s">
        <v>82</v>
      </c>
      <c r="N26" s="14" t="s">
        <v>14</v>
      </c>
      <c r="O26" s="14" t="s">
        <v>293</v>
      </c>
      <c r="P26" s="16" t="s">
        <v>297</v>
      </c>
    </row>
    <row r="27" spans="1:16" s="17" customFormat="1" ht="57" customHeight="1">
      <c r="A27" s="15" t="s">
        <v>83</v>
      </c>
      <c r="B27" s="14" t="s">
        <v>3</v>
      </c>
      <c r="C27" s="14" t="s">
        <v>86</v>
      </c>
      <c r="D27" s="14" t="s">
        <v>7</v>
      </c>
      <c r="E27" s="14" t="s">
        <v>86</v>
      </c>
      <c r="F27" s="14" t="s">
        <v>84</v>
      </c>
      <c r="G27" s="14" t="s">
        <v>40</v>
      </c>
      <c r="H27" s="14" t="s">
        <v>87</v>
      </c>
      <c r="I27" s="14" t="s">
        <v>249</v>
      </c>
      <c r="J27" s="14" t="s">
        <v>298</v>
      </c>
      <c r="K27" s="14" t="s">
        <v>78</v>
      </c>
      <c r="L27" s="14" t="s">
        <v>340</v>
      </c>
      <c r="M27" s="14" t="s">
        <v>82</v>
      </c>
      <c r="N27" s="14" t="s">
        <v>14</v>
      </c>
      <c r="O27" s="14" t="s">
        <v>293</v>
      </c>
      <c r="P27" s="16" t="s">
        <v>299</v>
      </c>
    </row>
    <row r="28" spans="1:16" s="17" customFormat="1" ht="57" customHeight="1">
      <c r="A28" s="18" t="s">
        <v>88</v>
      </c>
      <c r="B28" s="19" t="s">
        <v>4</v>
      </c>
      <c r="C28" s="19" t="s">
        <v>89</v>
      </c>
      <c r="D28" s="19" t="s">
        <v>90</v>
      </c>
      <c r="E28" s="19" t="s">
        <v>89</v>
      </c>
      <c r="F28" s="19" t="s">
        <v>78</v>
      </c>
      <c r="G28" s="19" t="s">
        <v>65</v>
      </c>
      <c r="H28" s="19" t="s">
        <v>91</v>
      </c>
      <c r="I28" s="19" t="s">
        <v>200</v>
      </c>
      <c r="J28" s="19" t="s">
        <v>300</v>
      </c>
      <c r="K28" s="19" t="s">
        <v>78</v>
      </c>
      <c r="L28" s="19" t="s">
        <v>92</v>
      </c>
      <c r="M28" s="19" t="s">
        <v>82</v>
      </c>
      <c r="N28" s="19" t="s">
        <v>14</v>
      </c>
      <c r="O28" s="19" t="s">
        <v>301</v>
      </c>
      <c r="P28" s="20" t="s">
        <v>302</v>
      </c>
    </row>
  </sheetData>
  <phoneticPr fontId="5" type="noConversion"/>
  <conditionalFormatting sqref="N2:N28">
    <cfRule type="expression" dxfId="5" priority="1">
      <formula>N2="CURRENT"</formula>
    </cfRule>
    <cfRule type="expression" dxfId="4" priority="2">
      <formula>N2="PROPOSED"</formula>
    </cfRule>
    <cfRule type="expression" dxfId="3" priority="3">
      <formula>N2="REVIEW_REQUIRED"</formula>
    </cfRule>
    <cfRule type="expression" dxfId="2" priority="4">
      <formula>N2="DEFERRED"</formula>
    </cfRule>
  </conditionalFormatting>
  <dataValidations count="5">
    <dataValidation type="list" sqref="B2:B28" xr:uid="{00000000-0002-0000-0100-000000000000}">
      <formula1>"TICKET_ACTION,ACTION_SUBRESOURCE,TICKET_COMMAND,WORK_SESSION_COMMAND,SYSTEM_OPERATION"</formula1>
    </dataValidation>
    <dataValidation type="list" sqref="F2:F28" xr:uid="{00000000-0002-0000-0100-000001000000}">
      <formula1>"IMMUTABLE,AUTHOR_SOFT_DELETE_ONLY,SOFT_DELETE,NO_ACTION_ROW,WORK_SESSION_ROW"</formula1>
    </dataValidation>
    <dataValidation type="list" sqref="K2:K28" xr:uid="{00000000-0002-0000-0100-000002000000}">
      <formula1>"ACTION_ROW,NO_NEW_ACTION_ROW,NO_ACTION_ROW"</formula1>
    </dataValidation>
    <dataValidation type="list" sqref="M2:M28" xr:uid="{00000000-0002-0000-0100-000003000000}">
      <formula1>"ACTION_NO_REQUIRED,EXISTING_ACTION_NO,ACTION_NO_NULL"</formula1>
    </dataValidation>
    <dataValidation type="list" sqref="N2:N28" xr:uid="{00000000-0002-0000-0100-000004000000}">
      <formula1>"CURRENT,PROPOSED,REVIEW_REQUIRED,DEFERRED"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:XFD16"/>
    </sheetView>
  </sheetViews>
  <sheetFormatPr defaultRowHeight="14.25"/>
  <cols>
    <col min="1" max="1" width="8.75" bestFit="1" customWidth="1"/>
    <col min="2" max="2" width="29.375" bestFit="1" customWidth="1"/>
    <col min="3" max="3" width="144.875" bestFit="1" customWidth="1"/>
    <col min="4" max="4" width="20.5" bestFit="1" customWidth="1"/>
  </cols>
  <sheetData>
    <row r="1" spans="1:4" ht="15">
      <c r="A1" s="4" t="s">
        <v>303</v>
      </c>
      <c r="B1" s="5" t="s">
        <v>304</v>
      </c>
      <c r="C1" s="5" t="s">
        <v>305</v>
      </c>
      <c r="D1" s="6" t="s">
        <v>238</v>
      </c>
    </row>
    <row r="2" spans="1:4">
      <c r="A2" s="7" t="s">
        <v>93</v>
      </c>
      <c r="B2" s="3" t="s">
        <v>306</v>
      </c>
      <c r="C2" s="3" t="s">
        <v>307</v>
      </c>
      <c r="D2" s="8" t="s">
        <v>14</v>
      </c>
    </row>
    <row r="3" spans="1:4">
      <c r="A3" s="7" t="s">
        <v>94</v>
      </c>
      <c r="B3" s="3" t="s">
        <v>228</v>
      </c>
      <c r="C3" s="3" t="s">
        <v>308</v>
      </c>
      <c r="D3" s="8" t="s">
        <v>14</v>
      </c>
    </row>
    <row r="4" spans="1:4">
      <c r="A4" s="7" t="s">
        <v>95</v>
      </c>
      <c r="B4" s="3" t="s">
        <v>309</v>
      </c>
      <c r="C4" s="3" t="s">
        <v>310</v>
      </c>
      <c r="D4" s="8" t="s">
        <v>14</v>
      </c>
    </row>
    <row r="5" spans="1:4">
      <c r="A5" s="7" t="s">
        <v>96</v>
      </c>
      <c r="B5" s="3" t="s">
        <v>311</v>
      </c>
      <c r="C5" s="3" t="s">
        <v>312</v>
      </c>
      <c r="D5" s="8" t="s">
        <v>14</v>
      </c>
    </row>
    <row r="6" spans="1:4">
      <c r="A6" s="7" t="s">
        <v>97</v>
      </c>
      <c r="B6" s="3" t="s">
        <v>313</v>
      </c>
      <c r="C6" s="3" t="s">
        <v>314</v>
      </c>
      <c r="D6" s="8" t="s">
        <v>14</v>
      </c>
    </row>
    <row r="7" spans="1:4">
      <c r="A7" s="7" t="s">
        <v>98</v>
      </c>
      <c r="B7" s="3" t="s">
        <v>315</v>
      </c>
      <c r="C7" s="3" t="s">
        <v>316</v>
      </c>
      <c r="D7" s="8" t="s">
        <v>14</v>
      </c>
    </row>
    <row r="8" spans="1:4">
      <c r="A8" s="7" t="s">
        <v>99</v>
      </c>
      <c r="B8" s="3" t="s">
        <v>317</v>
      </c>
      <c r="C8" s="3" t="s">
        <v>318</v>
      </c>
      <c r="D8" s="8" t="s">
        <v>14</v>
      </c>
    </row>
    <row r="9" spans="1:4">
      <c r="A9" s="7" t="s">
        <v>100</v>
      </c>
      <c r="B9" s="3" t="s">
        <v>319</v>
      </c>
      <c r="C9" s="3" t="s">
        <v>320</v>
      </c>
      <c r="D9" s="8" t="s">
        <v>14</v>
      </c>
    </row>
    <row r="10" spans="1:4">
      <c r="A10" s="7" t="s">
        <v>101</v>
      </c>
      <c r="B10" s="3" t="s">
        <v>321</v>
      </c>
      <c r="C10" s="3" t="s">
        <v>322</v>
      </c>
      <c r="D10" s="8" t="s">
        <v>14</v>
      </c>
    </row>
    <row r="11" spans="1:4">
      <c r="A11" s="7" t="s">
        <v>102</v>
      </c>
      <c r="B11" s="3" t="s">
        <v>323</v>
      </c>
      <c r="C11" s="3" t="s">
        <v>324</v>
      </c>
      <c r="D11" s="8" t="s">
        <v>14</v>
      </c>
    </row>
    <row r="12" spans="1:4">
      <c r="A12" s="7" t="s">
        <v>103</v>
      </c>
      <c r="B12" s="3" t="s">
        <v>325</v>
      </c>
      <c r="C12" s="3" t="s">
        <v>326</v>
      </c>
      <c r="D12" s="8" t="s">
        <v>14</v>
      </c>
    </row>
    <row r="13" spans="1:4">
      <c r="A13" s="7" t="s">
        <v>104</v>
      </c>
      <c r="B13" s="3" t="s">
        <v>327</v>
      </c>
      <c r="C13" s="3" t="s">
        <v>328</v>
      </c>
      <c r="D13" s="8" t="s">
        <v>14</v>
      </c>
    </row>
    <row r="14" spans="1:4">
      <c r="A14" s="7" t="s">
        <v>105</v>
      </c>
      <c r="B14" s="3" t="s">
        <v>329</v>
      </c>
      <c r="C14" s="3" t="s">
        <v>330</v>
      </c>
      <c r="D14" s="8" t="s">
        <v>14</v>
      </c>
    </row>
    <row r="15" spans="1:4">
      <c r="A15" s="9" t="s">
        <v>106</v>
      </c>
      <c r="B15" s="10" t="s">
        <v>331</v>
      </c>
      <c r="C15" s="10" t="s">
        <v>332</v>
      </c>
      <c r="D15" s="11" t="s">
        <v>14</v>
      </c>
    </row>
    <row r="16" spans="1:4">
      <c r="A16" t="s">
        <v>133</v>
      </c>
      <c r="B16" t="s">
        <v>333</v>
      </c>
      <c r="C16" t="s">
        <v>334</v>
      </c>
      <c r="D16" t="s">
        <v>131</v>
      </c>
    </row>
  </sheetData>
  <phoneticPr fontId="5" type="noConversion"/>
  <conditionalFormatting sqref="D2:D16">
    <cfRule type="expression" dxfId="1" priority="1">
      <formula>D2="CURRENT"</formula>
    </cfRule>
    <cfRule type="expression" dxfId="0" priority="2" stopIfTrue="1">
      <formula>D2="REVIEW_REQUIRED"</formula>
    </cfRule>
  </conditionalFormatting>
  <dataValidations count="2">
    <dataValidation type="list" sqref="D2:D15" xr:uid="{00000000-0002-0000-0200-000000000000}">
      <formula1>"CURRENT,PROPOSED,REVIEW_REQUIRED,DEFERRED"</formula1>
    </dataValidation>
    <dataValidation type="list" allowBlank="1" showInputMessage="1" showErrorMessage="1" sqref="D16" xr:uid="{A7FDEB8B-8E0C-484E-9296-B359761BDE7F}">
      <formula1>"CURRENT,PROPOSED,REVIEW_REQUIRED,DEFERRED"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C32" sqref="C32"/>
    </sheetView>
  </sheetViews>
  <sheetFormatPr defaultRowHeight="14.25"/>
  <cols>
    <col min="1" max="1" width="17.5" bestFit="1" customWidth="1"/>
    <col min="2" max="2" width="31.375" bestFit="1" customWidth="1"/>
    <col min="3" max="3" width="108.5" customWidth="1"/>
  </cols>
  <sheetData>
    <row r="1" spans="1:3" ht="15">
      <c r="A1" s="4" t="s">
        <v>304</v>
      </c>
      <c r="B1" s="5" t="s">
        <v>335</v>
      </c>
      <c r="C1" s="6" t="s">
        <v>336</v>
      </c>
    </row>
    <row r="2" spans="1:3">
      <c r="A2" s="7" t="s">
        <v>221</v>
      </c>
      <c r="B2" s="3" t="s">
        <v>0</v>
      </c>
      <c r="C2" s="8" t="s">
        <v>341</v>
      </c>
    </row>
    <row r="3" spans="1:3">
      <c r="A3" s="7" t="s">
        <v>221</v>
      </c>
      <c r="B3" s="3" t="s">
        <v>1</v>
      </c>
      <c r="C3" s="8" t="s">
        <v>342</v>
      </c>
    </row>
    <row r="4" spans="1:3">
      <c r="A4" s="7" t="s">
        <v>221</v>
      </c>
      <c r="B4" s="3" t="s">
        <v>2</v>
      </c>
      <c r="C4" s="8" t="s">
        <v>343</v>
      </c>
    </row>
    <row r="5" spans="1:3">
      <c r="A5" s="7" t="s">
        <v>221</v>
      </c>
      <c r="B5" s="3" t="s">
        <v>3</v>
      </c>
      <c r="C5" s="8" t="s">
        <v>344</v>
      </c>
    </row>
    <row r="6" spans="1:3">
      <c r="A6" s="7" t="s">
        <v>221</v>
      </c>
      <c r="B6" s="3" t="s">
        <v>4</v>
      </c>
      <c r="C6" s="8" t="s">
        <v>345</v>
      </c>
    </row>
    <row r="7" spans="1:3">
      <c r="A7" s="7" t="s">
        <v>230</v>
      </c>
      <c r="B7" s="3" t="s">
        <v>8</v>
      </c>
      <c r="C7" s="8" t="s">
        <v>346</v>
      </c>
    </row>
    <row r="8" spans="1:3">
      <c r="A8" s="7" t="s">
        <v>230</v>
      </c>
      <c r="B8" s="3" t="s">
        <v>22</v>
      </c>
      <c r="C8" s="8" t="s">
        <v>347</v>
      </c>
    </row>
    <row r="9" spans="1:3">
      <c r="A9" s="7" t="s">
        <v>230</v>
      </c>
      <c r="B9" s="3" t="s">
        <v>29</v>
      </c>
      <c r="C9" s="8" t="s">
        <v>348</v>
      </c>
    </row>
    <row r="10" spans="1:3">
      <c r="A10" s="7" t="s">
        <v>230</v>
      </c>
      <c r="B10" s="3" t="s">
        <v>78</v>
      </c>
      <c r="C10" s="8" t="s">
        <v>349</v>
      </c>
    </row>
    <row r="11" spans="1:3">
      <c r="A11" s="7" t="s">
        <v>230</v>
      </c>
      <c r="B11" s="3" t="s">
        <v>84</v>
      </c>
      <c r="C11" s="8" t="s">
        <v>350</v>
      </c>
    </row>
    <row r="12" spans="1:3">
      <c r="A12" s="7" t="s">
        <v>235</v>
      </c>
      <c r="B12" s="3" t="s">
        <v>11</v>
      </c>
      <c r="C12" s="8" t="s">
        <v>351</v>
      </c>
    </row>
    <row r="13" spans="1:3">
      <c r="A13" s="7" t="s">
        <v>235</v>
      </c>
      <c r="B13" s="3" t="s">
        <v>31</v>
      </c>
      <c r="C13" s="8" t="s">
        <v>352</v>
      </c>
    </row>
    <row r="14" spans="1:3">
      <c r="A14" s="7" t="s">
        <v>235</v>
      </c>
      <c r="B14" s="3" t="s">
        <v>78</v>
      </c>
      <c r="C14" s="8" t="s">
        <v>353</v>
      </c>
    </row>
    <row r="15" spans="1:3">
      <c r="A15" s="7" t="s">
        <v>237</v>
      </c>
      <c r="B15" s="3" t="s">
        <v>13</v>
      </c>
      <c r="C15" s="8" t="s">
        <v>354</v>
      </c>
    </row>
    <row r="16" spans="1:3">
      <c r="A16" s="7" t="s">
        <v>237</v>
      </c>
      <c r="B16" s="3" t="s">
        <v>33</v>
      </c>
      <c r="C16" s="8" t="s">
        <v>355</v>
      </c>
    </row>
    <row r="17" spans="1:3">
      <c r="A17" s="7" t="s">
        <v>237</v>
      </c>
      <c r="B17" s="3" t="s">
        <v>82</v>
      </c>
      <c r="C17" s="8" t="s">
        <v>356</v>
      </c>
    </row>
    <row r="18" spans="1:3">
      <c r="A18" s="9" t="s">
        <v>238</v>
      </c>
      <c r="B18" s="10" t="s">
        <v>14</v>
      </c>
      <c r="C18" s="11" t="s">
        <v>357</v>
      </c>
    </row>
    <row r="19" spans="1:3">
      <c r="A19" t="s">
        <v>238</v>
      </c>
      <c r="B19" t="s">
        <v>131</v>
      </c>
      <c r="C19" t="s">
        <v>358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selection activeCell="C42" sqref="C42"/>
    </sheetView>
  </sheetViews>
  <sheetFormatPr defaultRowHeight="14.25"/>
  <cols>
    <col min="1" max="1" width="36.625" customWidth="1"/>
    <col min="2" max="2" width="30" bestFit="1" customWidth="1"/>
    <col min="3" max="3" width="15.125" bestFit="1" customWidth="1"/>
    <col min="4" max="4" width="22.375" bestFit="1" customWidth="1"/>
    <col min="5" max="5" width="22.625" customWidth="1"/>
    <col min="6" max="6" width="31.375" customWidth="1"/>
    <col min="7" max="7" width="35.875" bestFit="1" customWidth="1"/>
    <col min="8" max="8" width="28" customWidth="1"/>
    <col min="9" max="9" width="76.625" customWidth="1"/>
    <col min="10" max="10" width="34.625" customWidth="1"/>
  </cols>
  <sheetData>
    <row r="1" spans="1:10" ht="15">
      <c r="A1" s="4" t="s">
        <v>134</v>
      </c>
      <c r="B1" s="5" t="s">
        <v>135</v>
      </c>
      <c r="C1" s="5" t="s">
        <v>136</v>
      </c>
      <c r="D1" s="5"/>
      <c r="E1" s="5"/>
      <c r="F1" s="5" t="s">
        <v>137</v>
      </c>
      <c r="G1" s="5" t="s">
        <v>138</v>
      </c>
      <c r="H1" s="5"/>
      <c r="I1" s="5"/>
      <c r="J1" s="6" t="s">
        <v>139</v>
      </c>
    </row>
    <row r="2" spans="1:10" ht="30">
      <c r="A2" s="12" t="s">
        <v>140</v>
      </c>
      <c r="B2" s="1" t="s">
        <v>141</v>
      </c>
      <c r="C2" s="1" t="s">
        <v>142</v>
      </c>
      <c r="D2" s="1" t="s">
        <v>143</v>
      </c>
      <c r="E2" s="1" t="s">
        <v>144</v>
      </c>
      <c r="F2" s="1" t="s">
        <v>145</v>
      </c>
      <c r="G2" s="1" t="s">
        <v>232</v>
      </c>
      <c r="H2" s="1" t="s">
        <v>238</v>
      </c>
      <c r="I2" s="1" t="s">
        <v>146</v>
      </c>
      <c r="J2" s="13" t="s">
        <v>147</v>
      </c>
    </row>
    <row r="3" spans="1:10" ht="28.5" customHeight="1">
      <c r="A3" s="7" t="s">
        <v>148</v>
      </c>
      <c r="B3" s="3" t="s">
        <v>149</v>
      </c>
      <c r="C3" s="3" t="s">
        <v>150</v>
      </c>
      <c r="D3" s="3" t="s">
        <v>149</v>
      </c>
      <c r="E3" s="3" t="s">
        <v>151</v>
      </c>
      <c r="F3" s="3" t="s">
        <v>152</v>
      </c>
      <c r="G3" s="3" t="s">
        <v>153</v>
      </c>
      <c r="H3" s="3" t="s">
        <v>154</v>
      </c>
      <c r="I3" s="3" t="s">
        <v>155</v>
      </c>
      <c r="J3" s="8" t="s">
        <v>156</v>
      </c>
    </row>
    <row r="4" spans="1:10" ht="28.5" customHeight="1">
      <c r="A4" s="7"/>
      <c r="B4" s="3"/>
      <c r="C4" s="3"/>
      <c r="D4" s="3"/>
      <c r="E4" s="3"/>
      <c r="F4" s="3"/>
      <c r="G4" s="3" t="s">
        <v>157</v>
      </c>
      <c r="H4" s="3" t="s">
        <v>158</v>
      </c>
      <c r="I4" s="3" t="s">
        <v>159</v>
      </c>
      <c r="J4" s="8" t="s">
        <v>160</v>
      </c>
    </row>
    <row r="5" spans="1:10" ht="28.5" customHeight="1">
      <c r="A5" s="7" t="s">
        <v>161</v>
      </c>
      <c r="B5" s="3" t="s">
        <v>149</v>
      </c>
      <c r="C5" s="3" t="s">
        <v>150</v>
      </c>
      <c r="D5" s="3" t="s">
        <v>149</v>
      </c>
      <c r="E5" s="3" t="s">
        <v>151</v>
      </c>
      <c r="F5" s="3" t="s">
        <v>152</v>
      </c>
      <c r="G5" s="3"/>
      <c r="H5" s="3" t="s">
        <v>162</v>
      </c>
      <c r="I5" s="3" t="s">
        <v>163</v>
      </c>
      <c r="J5" s="8" t="s">
        <v>164</v>
      </c>
    </row>
    <row r="6" spans="1:10" ht="28.5" customHeight="1">
      <c r="A6" s="7" t="s">
        <v>165</v>
      </c>
      <c r="B6" s="3" t="s">
        <v>166</v>
      </c>
      <c r="C6" s="3" t="s">
        <v>167</v>
      </c>
      <c r="D6" s="3" t="s">
        <v>166</v>
      </c>
      <c r="E6" s="3" t="s">
        <v>168</v>
      </c>
      <c r="F6" s="3" t="s">
        <v>150</v>
      </c>
      <c r="G6" s="3"/>
      <c r="H6" s="3" t="s">
        <v>169</v>
      </c>
      <c r="I6" s="3" t="s">
        <v>170</v>
      </c>
      <c r="J6" s="8" t="s">
        <v>171</v>
      </c>
    </row>
    <row r="7" spans="1:10" ht="28.5" customHeight="1">
      <c r="A7" s="7"/>
      <c r="B7" s="3" t="s">
        <v>172</v>
      </c>
      <c r="C7" s="3" t="s">
        <v>150</v>
      </c>
      <c r="D7" s="3" t="s">
        <v>150</v>
      </c>
      <c r="E7" s="3" t="s">
        <v>168</v>
      </c>
      <c r="F7" s="3" t="s">
        <v>150</v>
      </c>
      <c r="G7" s="3"/>
      <c r="H7" s="3" t="s">
        <v>169</v>
      </c>
      <c r="I7" s="3" t="s">
        <v>170</v>
      </c>
      <c r="J7" s="8" t="s">
        <v>171</v>
      </c>
    </row>
    <row r="8" spans="1:10" ht="28.5" customHeight="1">
      <c r="A8" s="7" t="s">
        <v>173</v>
      </c>
      <c r="B8" s="3" t="s">
        <v>166</v>
      </c>
      <c r="C8" s="3" t="s">
        <v>174</v>
      </c>
      <c r="D8" s="3" t="s">
        <v>166</v>
      </c>
      <c r="E8" s="3" t="s">
        <v>168</v>
      </c>
      <c r="F8" s="3" t="s">
        <v>175</v>
      </c>
      <c r="G8" s="3"/>
      <c r="H8" s="3" t="s">
        <v>169</v>
      </c>
      <c r="I8" s="3" t="s">
        <v>170</v>
      </c>
      <c r="J8" s="8" t="s">
        <v>176</v>
      </c>
    </row>
    <row r="9" spans="1:10" ht="28.5" customHeight="1">
      <c r="A9" s="7"/>
      <c r="B9" s="3" t="s">
        <v>172</v>
      </c>
      <c r="C9" s="3" t="s">
        <v>150</v>
      </c>
      <c r="D9" s="3" t="s">
        <v>172</v>
      </c>
      <c r="E9" s="3" t="s">
        <v>168</v>
      </c>
      <c r="F9" s="3" t="s">
        <v>175</v>
      </c>
      <c r="G9" s="3"/>
      <c r="H9" s="3" t="s">
        <v>169</v>
      </c>
      <c r="I9" s="3" t="s">
        <v>170</v>
      </c>
      <c r="J9" s="8" t="s">
        <v>176</v>
      </c>
    </row>
    <row r="10" spans="1:10" ht="28.5" customHeight="1">
      <c r="A10" s="7" t="s">
        <v>177</v>
      </c>
      <c r="B10" s="3" t="s">
        <v>178</v>
      </c>
      <c r="C10" s="3" t="s">
        <v>150</v>
      </c>
      <c r="D10" s="3" t="s">
        <v>149</v>
      </c>
      <c r="E10" s="3" t="s">
        <v>151</v>
      </c>
      <c r="F10" s="3" t="s">
        <v>179</v>
      </c>
      <c r="G10" s="3"/>
      <c r="H10" s="3" t="s">
        <v>180</v>
      </c>
      <c r="I10" s="3" t="s">
        <v>181</v>
      </c>
      <c r="J10" s="8" t="s">
        <v>182</v>
      </c>
    </row>
    <row r="11" spans="1:10" ht="28.5" customHeight="1">
      <c r="A11" s="7"/>
      <c r="B11" s="3" t="s">
        <v>172</v>
      </c>
      <c r="C11" s="3" t="s">
        <v>150</v>
      </c>
      <c r="D11" s="3" t="s">
        <v>172</v>
      </c>
      <c r="E11" s="3" t="s">
        <v>151</v>
      </c>
      <c r="F11" s="3" t="s">
        <v>152</v>
      </c>
      <c r="G11" s="3"/>
      <c r="H11" s="3" t="s">
        <v>183</v>
      </c>
      <c r="I11" s="3" t="s">
        <v>184</v>
      </c>
      <c r="J11" s="8" t="s">
        <v>182</v>
      </c>
    </row>
    <row r="12" spans="1:10" ht="28.5" customHeight="1">
      <c r="A12" s="7" t="s">
        <v>185</v>
      </c>
      <c r="B12" s="3" t="s">
        <v>186</v>
      </c>
      <c r="C12" s="3" t="s">
        <v>150</v>
      </c>
      <c r="D12" s="3" t="s">
        <v>178</v>
      </c>
      <c r="E12" s="3" t="s">
        <v>151</v>
      </c>
      <c r="F12" s="3" t="s">
        <v>179</v>
      </c>
      <c r="G12" s="3"/>
      <c r="H12" s="3" t="s">
        <v>169</v>
      </c>
      <c r="I12" s="3" t="s">
        <v>187</v>
      </c>
      <c r="J12" s="8" t="s">
        <v>182</v>
      </c>
    </row>
    <row r="13" spans="1:10" ht="28.5" customHeight="1">
      <c r="A13" s="7" t="s">
        <v>188</v>
      </c>
      <c r="B13" s="3" t="s">
        <v>178</v>
      </c>
      <c r="C13" s="3" t="s">
        <v>150</v>
      </c>
      <c r="D13" s="3" t="s">
        <v>178</v>
      </c>
      <c r="E13" s="3" t="s">
        <v>151</v>
      </c>
      <c r="F13" s="3" t="s">
        <v>179</v>
      </c>
      <c r="G13" s="3"/>
      <c r="H13" s="3" t="s">
        <v>169</v>
      </c>
      <c r="I13" s="3" t="s">
        <v>189</v>
      </c>
      <c r="J13" s="8" t="s">
        <v>190</v>
      </c>
    </row>
    <row r="14" spans="1:10" ht="28.5" customHeight="1">
      <c r="A14" s="7"/>
      <c r="B14" s="3" t="s">
        <v>172</v>
      </c>
      <c r="C14" s="3" t="s">
        <v>150</v>
      </c>
      <c r="D14" s="3" t="s">
        <v>172</v>
      </c>
      <c r="E14" s="3" t="s">
        <v>151</v>
      </c>
      <c r="F14" s="3" t="s">
        <v>191</v>
      </c>
      <c r="G14" s="3"/>
      <c r="H14" s="3" t="s">
        <v>169</v>
      </c>
      <c r="I14" s="3" t="s">
        <v>189</v>
      </c>
      <c r="J14" s="8" t="s">
        <v>190</v>
      </c>
    </row>
    <row r="15" spans="1:10" ht="28.5" customHeight="1">
      <c r="A15" s="7"/>
      <c r="B15" s="3" t="s">
        <v>172</v>
      </c>
      <c r="C15" s="3" t="s">
        <v>150</v>
      </c>
      <c r="D15" s="3" t="s">
        <v>172</v>
      </c>
      <c r="E15" s="3" t="s">
        <v>151</v>
      </c>
      <c r="F15" s="3" t="s">
        <v>192</v>
      </c>
      <c r="G15" s="3"/>
      <c r="H15" s="3" t="s">
        <v>169</v>
      </c>
      <c r="I15" s="3" t="s">
        <v>193</v>
      </c>
      <c r="J15" s="8" t="s">
        <v>190</v>
      </c>
    </row>
    <row r="16" spans="1:10" ht="28.5" customHeight="1">
      <c r="A16" s="7" t="s">
        <v>194</v>
      </c>
      <c r="B16" s="3" t="s">
        <v>149</v>
      </c>
      <c r="C16" s="3" t="s">
        <v>150</v>
      </c>
      <c r="D16" s="3" t="s">
        <v>149</v>
      </c>
      <c r="E16" s="3" t="s">
        <v>151</v>
      </c>
      <c r="F16" s="3" t="s">
        <v>179</v>
      </c>
      <c r="G16" s="3"/>
      <c r="H16" s="3" t="s">
        <v>195</v>
      </c>
      <c r="I16" s="3" t="s">
        <v>196</v>
      </c>
      <c r="J16" s="8" t="s">
        <v>197</v>
      </c>
    </row>
    <row r="17" spans="1:10" ht="28.5" customHeight="1">
      <c r="A17" s="7" t="s">
        <v>198</v>
      </c>
      <c r="B17" s="3" t="s">
        <v>178</v>
      </c>
      <c r="C17" s="3" t="s">
        <v>150</v>
      </c>
      <c r="D17" s="3" t="s">
        <v>178</v>
      </c>
      <c r="E17" s="3" t="s">
        <v>151</v>
      </c>
      <c r="F17" s="3" t="s">
        <v>199</v>
      </c>
      <c r="G17" s="3"/>
      <c r="H17" s="3" t="s">
        <v>200</v>
      </c>
      <c r="I17" s="3" t="s">
        <v>201</v>
      </c>
      <c r="J17" s="8" t="s">
        <v>202</v>
      </c>
    </row>
    <row r="18" spans="1:10" ht="28.5" customHeight="1">
      <c r="A18" s="7"/>
      <c r="B18" s="3" t="s">
        <v>172</v>
      </c>
      <c r="C18" s="3" t="s">
        <v>150</v>
      </c>
      <c r="D18" s="3" t="s">
        <v>172</v>
      </c>
      <c r="E18" s="3" t="s">
        <v>151</v>
      </c>
      <c r="F18" s="3" t="s">
        <v>203</v>
      </c>
      <c r="G18" s="3"/>
      <c r="H18" s="3" t="s">
        <v>200</v>
      </c>
      <c r="I18" s="3" t="s">
        <v>201</v>
      </c>
      <c r="J18" s="8" t="s">
        <v>202</v>
      </c>
    </row>
    <row r="19" spans="1:10" ht="28.5" customHeight="1">
      <c r="A19" s="7" t="s">
        <v>204</v>
      </c>
      <c r="B19" s="3" t="s">
        <v>205</v>
      </c>
      <c r="C19" s="3" t="s">
        <v>150</v>
      </c>
      <c r="D19" s="3" t="s">
        <v>205</v>
      </c>
      <c r="E19" s="3" t="s">
        <v>151</v>
      </c>
      <c r="F19" s="3" t="s">
        <v>206</v>
      </c>
      <c r="G19" s="3"/>
      <c r="H19" s="3" t="s">
        <v>207</v>
      </c>
      <c r="I19" s="3"/>
      <c r="J19" s="8" t="s">
        <v>208</v>
      </c>
    </row>
    <row r="20" spans="1:10" ht="28.5" customHeight="1">
      <c r="A20" s="7" t="s">
        <v>209</v>
      </c>
      <c r="B20" s="3" t="s">
        <v>210</v>
      </c>
      <c r="C20" s="3" t="s">
        <v>150</v>
      </c>
      <c r="D20" s="3" t="s">
        <v>210</v>
      </c>
      <c r="E20" s="3" t="s">
        <v>151</v>
      </c>
      <c r="F20" s="3" t="s">
        <v>211</v>
      </c>
      <c r="G20" s="3" t="s">
        <v>153</v>
      </c>
      <c r="H20" s="3" t="s">
        <v>212</v>
      </c>
      <c r="I20" s="3" t="s">
        <v>155</v>
      </c>
      <c r="J20" s="8" t="s">
        <v>213</v>
      </c>
    </row>
    <row r="21" spans="1:10" ht="28.5" customHeight="1">
      <c r="A21" s="7"/>
      <c r="B21" s="3"/>
      <c r="C21" s="3"/>
      <c r="D21" s="3"/>
      <c r="E21" s="3" t="s">
        <v>151</v>
      </c>
      <c r="F21" s="3"/>
      <c r="G21" s="3" t="s">
        <v>157</v>
      </c>
      <c r="H21" s="3" t="s">
        <v>158</v>
      </c>
      <c r="I21" s="3" t="s">
        <v>159</v>
      </c>
      <c r="J21" s="8" t="s">
        <v>214</v>
      </c>
    </row>
    <row r="22" spans="1:10" ht="28.5" customHeight="1">
      <c r="A22" s="7" t="s">
        <v>215</v>
      </c>
      <c r="B22" s="3" t="s">
        <v>210</v>
      </c>
      <c r="C22" s="3" t="s">
        <v>150</v>
      </c>
      <c r="D22" s="3" t="s">
        <v>210</v>
      </c>
      <c r="E22" s="3" t="s">
        <v>151</v>
      </c>
      <c r="F22" s="3" t="s">
        <v>216</v>
      </c>
      <c r="G22" s="3"/>
      <c r="H22" s="3" t="s">
        <v>200</v>
      </c>
      <c r="I22" s="3" t="s">
        <v>217</v>
      </c>
      <c r="J22" s="8" t="s">
        <v>218</v>
      </c>
    </row>
    <row r="23" spans="1:10" ht="28.5" customHeight="1">
      <c r="A23" s="7" t="s">
        <v>108</v>
      </c>
      <c r="B23" s="3" t="s">
        <v>109</v>
      </c>
      <c r="C23" s="3" t="s">
        <v>107</v>
      </c>
      <c r="D23" s="3" t="s">
        <v>109</v>
      </c>
      <c r="E23" s="3" t="s">
        <v>90</v>
      </c>
      <c r="F23" s="3" t="s">
        <v>79</v>
      </c>
      <c r="G23" s="3"/>
      <c r="H23" s="3" t="s">
        <v>283</v>
      </c>
      <c r="I23" s="3" t="s">
        <v>110</v>
      </c>
      <c r="J23" s="8" t="s">
        <v>111</v>
      </c>
    </row>
    <row r="24" spans="1:10" ht="28.5" customHeight="1">
      <c r="A24" s="7" t="s">
        <v>112</v>
      </c>
      <c r="B24" s="3" t="s">
        <v>113</v>
      </c>
      <c r="C24" s="3" t="s">
        <v>107</v>
      </c>
      <c r="D24" s="3" t="s">
        <v>113</v>
      </c>
      <c r="E24" s="3" t="s">
        <v>90</v>
      </c>
      <c r="F24" s="3" t="s">
        <v>40</v>
      </c>
      <c r="G24" s="3" t="s">
        <v>114</v>
      </c>
      <c r="H24" s="3" t="s">
        <v>115</v>
      </c>
      <c r="I24" s="3" t="s">
        <v>116</v>
      </c>
      <c r="J24" s="8" t="s">
        <v>117</v>
      </c>
    </row>
    <row r="25" spans="1:10">
      <c r="A25" s="7"/>
      <c r="B25" s="3"/>
      <c r="C25" s="3"/>
      <c r="D25" s="3"/>
      <c r="E25" s="3"/>
      <c r="F25" s="3"/>
      <c r="G25" s="3"/>
      <c r="H25" s="3"/>
      <c r="I25" s="3"/>
      <c r="J25" s="8"/>
    </row>
    <row r="26" spans="1:10">
      <c r="A26" s="7" t="s">
        <v>118</v>
      </c>
      <c r="B26" s="3"/>
      <c r="C26" s="3"/>
      <c r="D26" s="3"/>
      <c r="E26" s="3"/>
      <c r="F26" s="3"/>
      <c r="G26" s="3"/>
      <c r="H26" s="3"/>
      <c r="I26" s="3"/>
      <c r="J26" s="8"/>
    </row>
    <row r="27" spans="1:10">
      <c r="A27" s="21" t="s">
        <v>119</v>
      </c>
      <c r="B27" s="3"/>
      <c r="C27" s="3"/>
      <c r="D27" s="3"/>
      <c r="E27" s="3"/>
      <c r="F27" s="3"/>
      <c r="G27" s="3"/>
      <c r="H27" s="3"/>
      <c r="I27" s="3"/>
      <c r="J27" s="8"/>
    </row>
    <row r="28" spans="1:10">
      <c r="A28" s="21" t="s">
        <v>120</v>
      </c>
      <c r="B28" s="3"/>
      <c r="C28" s="3"/>
      <c r="D28" s="3"/>
      <c r="E28" s="3"/>
      <c r="F28" s="3"/>
      <c r="G28" s="3"/>
      <c r="H28" s="3"/>
      <c r="I28" s="3"/>
      <c r="J28" s="8"/>
    </row>
    <row r="29" spans="1:10">
      <c r="A29" s="21" t="s">
        <v>121</v>
      </c>
      <c r="B29" s="3"/>
      <c r="C29" s="3"/>
      <c r="D29" s="3"/>
      <c r="E29" s="3"/>
      <c r="F29" s="3"/>
      <c r="G29" s="3"/>
      <c r="H29" s="3"/>
      <c r="I29" s="3"/>
      <c r="J29" s="8"/>
    </row>
    <row r="30" spans="1:10">
      <c r="A30" s="21" t="s">
        <v>122</v>
      </c>
      <c r="B30" s="3"/>
      <c r="C30" s="3"/>
      <c r="D30" s="3"/>
      <c r="E30" s="3"/>
      <c r="F30" s="3"/>
      <c r="G30" s="3"/>
      <c r="H30" s="3"/>
      <c r="I30" s="3"/>
      <c r="J30" s="8"/>
    </row>
    <row r="31" spans="1:10">
      <c r="A31" s="21" t="s">
        <v>123</v>
      </c>
      <c r="B31" s="3"/>
      <c r="C31" s="3"/>
      <c r="D31" s="3"/>
      <c r="E31" s="3"/>
      <c r="F31" s="3"/>
      <c r="G31" s="3"/>
      <c r="H31" s="3"/>
      <c r="I31" s="3"/>
      <c r="J31" s="8"/>
    </row>
    <row r="32" spans="1:10">
      <c r="A32" s="21" t="s">
        <v>124</v>
      </c>
      <c r="B32" s="3"/>
      <c r="C32" s="3"/>
      <c r="D32" s="3"/>
      <c r="E32" s="3"/>
      <c r="F32" s="3"/>
      <c r="G32" s="3"/>
      <c r="H32" s="3"/>
      <c r="I32" s="3"/>
      <c r="J32" s="8"/>
    </row>
    <row r="33" spans="1:10">
      <c r="A33" s="21" t="s">
        <v>125</v>
      </c>
      <c r="B33" s="3"/>
      <c r="C33" s="3"/>
      <c r="D33" s="3"/>
      <c r="E33" s="3"/>
      <c r="F33" s="3"/>
      <c r="G33" s="3"/>
      <c r="H33" s="3"/>
      <c r="I33" s="3"/>
      <c r="J33" s="8"/>
    </row>
    <row r="34" spans="1:10">
      <c r="A34" s="21" t="s">
        <v>126</v>
      </c>
      <c r="B34" s="3"/>
      <c r="C34" s="3"/>
      <c r="D34" s="3"/>
      <c r="E34" s="3"/>
      <c r="F34" s="3"/>
      <c r="G34" s="3"/>
      <c r="H34" s="3"/>
      <c r="I34" s="3"/>
      <c r="J34" s="8"/>
    </row>
    <row r="35" spans="1:10">
      <c r="A35" s="21" t="s">
        <v>127</v>
      </c>
      <c r="B35" s="3"/>
      <c r="C35" s="3"/>
      <c r="D35" s="3"/>
      <c r="E35" s="3"/>
      <c r="F35" s="3"/>
      <c r="G35" s="3"/>
      <c r="H35" s="3"/>
      <c r="I35" s="3"/>
      <c r="J35" s="8"/>
    </row>
    <row r="36" spans="1:10">
      <c r="A36" s="21" t="s">
        <v>128</v>
      </c>
      <c r="B36" s="3"/>
      <c r="C36" s="3"/>
      <c r="D36" s="3"/>
      <c r="E36" s="3"/>
      <c r="F36" s="3"/>
      <c r="G36" s="3"/>
      <c r="H36" s="3"/>
      <c r="I36" s="3"/>
      <c r="J36" s="8"/>
    </row>
    <row r="37" spans="1:10">
      <c r="A37" s="21" t="s">
        <v>129</v>
      </c>
      <c r="B37" s="3"/>
      <c r="C37" s="3"/>
      <c r="D37" s="3"/>
      <c r="E37" s="3"/>
      <c r="F37" s="3"/>
      <c r="G37" s="3"/>
      <c r="H37" s="3"/>
      <c r="I37" s="3"/>
      <c r="J37" s="8"/>
    </row>
    <row r="38" spans="1:10">
      <c r="A38" s="22" t="s">
        <v>130</v>
      </c>
      <c r="B38" s="10"/>
      <c r="C38" s="10"/>
      <c r="D38" s="10"/>
      <c r="E38" s="10"/>
      <c r="F38" s="10"/>
      <c r="G38" s="10"/>
      <c r="H38" s="10"/>
      <c r="I38" s="10"/>
      <c r="J38" s="11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Workflow Matrix</vt:lpstr>
      <vt:lpstr>Common Rules</vt:lpstr>
      <vt:lpstr>Legend</vt:lpstr>
      <vt:lpstr>Legacy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성환 정</cp:lastModifiedBy>
  <dcterms:modified xsi:type="dcterms:W3CDTF">2026-08-03T14:19:49Z</dcterms:modified>
</cp:coreProperties>
</file>